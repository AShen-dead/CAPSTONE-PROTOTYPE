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RIC PADSING\OneDrive\Documents\IFFU TAGUDIN\"/>
    </mc:Choice>
  </mc:AlternateContent>
  <bookViews>
    <workbookView xWindow="0" yWindow="0" windowWidth="23040" windowHeight="8784" activeTab="2"/>
  </bookViews>
  <sheets>
    <sheet name="Tagudin Beneficiaries" sheetId="4" r:id="rId1"/>
    <sheet name="Collection - Dec. 2024" sheetId="5" r:id="rId2"/>
    <sheet name="Collection - Jan. 2025- Present" sheetId="6" r:id="rId3"/>
  </sheets>
  <definedNames>
    <definedName name="_xlnm.Print_Area" localSheetId="2">'Collection - Jan. 2025- Present'!$A$1:$BL$107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05" i="6" l="1"/>
  <c r="AX5" i="6" l="1"/>
  <c r="AX6" i="6"/>
  <c r="AX7" i="6"/>
  <c r="AX8" i="6"/>
  <c r="AX9" i="6"/>
  <c r="AX10" i="6"/>
  <c r="AX11" i="6"/>
  <c r="AX13" i="6"/>
  <c r="AX14" i="6"/>
  <c r="AX15" i="6"/>
  <c r="AX16" i="6"/>
  <c r="AX17" i="6"/>
  <c r="AX18" i="6"/>
  <c r="AX19" i="6"/>
  <c r="AX20" i="6"/>
  <c r="AX22" i="6"/>
  <c r="AX23" i="6"/>
  <c r="AX24" i="6"/>
  <c r="AX65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9" i="6"/>
  <c r="AX51" i="6"/>
  <c r="AX52" i="6"/>
  <c r="AX53" i="6"/>
  <c r="AX54" i="6"/>
  <c r="AX55" i="6"/>
  <c r="AX57" i="6"/>
  <c r="AX58" i="6"/>
  <c r="AX60" i="6"/>
  <c r="AX66" i="6"/>
  <c r="AX63" i="6"/>
  <c r="AX64" i="6"/>
  <c r="AX61" i="6"/>
  <c r="AX67" i="6"/>
  <c r="AX68" i="6"/>
  <c r="AX4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59" i="6"/>
  <c r="AX83" i="6"/>
  <c r="AX84" i="6"/>
  <c r="AX4" i="6"/>
  <c r="AJ71" i="6"/>
  <c r="AJ64" i="6"/>
  <c r="AJ47" i="6"/>
  <c r="AJ46" i="6"/>
  <c r="AJ9" i="6" l="1"/>
  <c r="BB42" i="6" l="1"/>
  <c r="BB43" i="6"/>
  <c r="BB73" i="6"/>
  <c r="BB36" i="6"/>
  <c r="BB68" i="6"/>
  <c r="U35" i="6"/>
  <c r="AJ35" i="6"/>
  <c r="AJ16" i="6"/>
  <c r="BB35" i="6" l="1"/>
  <c r="AJ74" i="6"/>
  <c r="AJ53" i="6" l="1"/>
  <c r="BH89" i="6" l="1"/>
  <c r="BH91" i="6" s="1"/>
  <c r="AJ15" i="6" l="1"/>
  <c r="AJ11" i="6"/>
  <c r="AJ5" i="6" l="1"/>
  <c r="AJ6" i="6"/>
  <c r="AJ7" i="6"/>
  <c r="AJ8" i="6"/>
  <c r="AJ13" i="6"/>
  <c r="AJ14" i="6"/>
  <c r="AJ17" i="6"/>
  <c r="AJ18" i="6"/>
  <c r="AJ55" i="6"/>
  <c r="AJ19" i="6"/>
  <c r="AJ20" i="6"/>
  <c r="AJ22" i="6"/>
  <c r="AJ23" i="6"/>
  <c r="AJ65" i="6"/>
  <c r="AJ25" i="6"/>
  <c r="AJ26" i="6"/>
  <c r="AJ27" i="6"/>
  <c r="AJ28" i="6"/>
  <c r="AJ29" i="6"/>
  <c r="AJ31" i="6"/>
  <c r="AJ32" i="6"/>
  <c r="AJ33" i="6"/>
  <c r="AJ34" i="6"/>
  <c r="AJ81" i="6"/>
  <c r="AJ37" i="6"/>
  <c r="AJ38" i="6"/>
  <c r="AJ39" i="6"/>
  <c r="AJ40" i="6"/>
  <c r="AJ41" i="6"/>
  <c r="AJ45" i="6"/>
  <c r="AJ79" i="6"/>
  <c r="AJ10" i="6"/>
  <c r="AJ49" i="6"/>
  <c r="AJ80" i="6"/>
  <c r="AJ51" i="6"/>
  <c r="AJ52" i="6"/>
  <c r="AJ82" i="6"/>
  <c r="AJ57" i="6"/>
  <c r="AJ58" i="6"/>
  <c r="AJ60" i="6"/>
  <c r="AJ66" i="6"/>
  <c r="AJ63" i="6"/>
  <c r="AJ75" i="6"/>
  <c r="AJ61" i="6"/>
  <c r="AJ44" i="6"/>
  <c r="AJ78" i="6"/>
  <c r="AJ48" i="6"/>
  <c r="AJ69" i="6"/>
  <c r="AJ70" i="6"/>
  <c r="AJ72" i="6"/>
  <c r="AJ83" i="6"/>
  <c r="AJ77" i="6"/>
  <c r="AJ59" i="6"/>
  <c r="AJ84" i="6"/>
  <c r="AJ4" i="6"/>
  <c r="U31" i="6"/>
  <c r="BB31" i="6" s="1"/>
  <c r="U32" i="6"/>
  <c r="BB32" i="6" s="1"/>
  <c r="U33" i="6"/>
  <c r="BB33" i="6" s="1"/>
  <c r="U34" i="6"/>
  <c r="BB34" i="6" s="1"/>
  <c r="U81" i="6"/>
  <c r="BB81" i="6" s="1"/>
  <c r="U37" i="6"/>
  <c r="BB37" i="6" s="1"/>
  <c r="U38" i="6"/>
  <c r="BB38" i="6" s="1"/>
  <c r="U39" i="6"/>
  <c r="BB39" i="6" s="1"/>
  <c r="U40" i="6"/>
  <c r="BB40" i="6" s="1"/>
  <c r="U41" i="6"/>
  <c r="BB41" i="6" s="1"/>
  <c r="U45" i="6"/>
  <c r="U47" i="6"/>
  <c r="BB47" i="6" s="1"/>
  <c r="U79" i="6"/>
  <c r="BB79" i="6" s="1"/>
  <c r="U10" i="6"/>
  <c r="U49" i="6"/>
  <c r="BB49" i="6" s="1"/>
  <c r="U80" i="6"/>
  <c r="U51" i="6"/>
  <c r="BB51" i="6" s="1"/>
  <c r="U52" i="6"/>
  <c r="U53" i="6"/>
  <c r="BB53" i="6" s="1"/>
  <c r="U82" i="6"/>
  <c r="U57" i="6"/>
  <c r="U58" i="6"/>
  <c r="U60" i="6"/>
  <c r="U66" i="6"/>
  <c r="U63" i="6"/>
  <c r="U75" i="6"/>
  <c r="U61" i="6"/>
  <c r="U44" i="6"/>
  <c r="U78" i="6"/>
  <c r="U48" i="6"/>
  <c r="U69" i="6"/>
  <c r="U70" i="6"/>
  <c r="U71" i="6"/>
  <c r="U72" i="6"/>
  <c r="U74" i="6"/>
  <c r="BB74" i="6" s="1"/>
  <c r="U83" i="6"/>
  <c r="U64" i="6"/>
  <c r="U46" i="6"/>
  <c r="U77" i="6"/>
  <c r="U59" i="6"/>
  <c r="U84" i="6"/>
  <c r="U6" i="6"/>
  <c r="U7" i="6"/>
  <c r="U8" i="6"/>
  <c r="U9" i="6"/>
  <c r="BB9" i="6" s="1"/>
  <c r="U11" i="6"/>
  <c r="BB11" i="6" s="1"/>
  <c r="U13" i="6"/>
  <c r="U14" i="6"/>
  <c r="U15" i="6"/>
  <c r="BB15" i="6" s="1"/>
  <c r="U16" i="6"/>
  <c r="BB16" i="6" s="1"/>
  <c r="U17" i="6"/>
  <c r="U18" i="6"/>
  <c r="U55" i="6"/>
  <c r="U19" i="6"/>
  <c r="U20" i="6"/>
  <c r="U22" i="6"/>
  <c r="U23" i="6"/>
  <c r="U65" i="6"/>
  <c r="U25" i="6"/>
  <c r="U26" i="6"/>
  <c r="U27" i="6"/>
  <c r="U28" i="6"/>
  <c r="U29" i="6"/>
  <c r="U5" i="6"/>
  <c r="U4" i="6"/>
  <c r="BB4" i="6" s="1"/>
  <c r="BJ44" i="6"/>
  <c r="BB80" i="6" l="1"/>
  <c r="BB7" i="6"/>
  <c r="BB52" i="6"/>
  <c r="BB10" i="6"/>
  <c r="BB8" i="6"/>
  <c r="BB6" i="6"/>
  <c r="BB58" i="6"/>
  <c r="BB13" i="6"/>
  <c r="BB45" i="6"/>
  <c r="BB27" i="6"/>
  <c r="BB23" i="6"/>
  <c r="BB55" i="6"/>
  <c r="BB5" i="6"/>
  <c r="BB26" i="6"/>
  <c r="BB22" i="6"/>
  <c r="BB18" i="6"/>
  <c r="BB28" i="6"/>
  <c r="BB65" i="6"/>
  <c r="BB19" i="6"/>
  <c r="BB57" i="6"/>
  <c r="BB82" i="6"/>
  <c r="BB14" i="6"/>
  <c r="BB29" i="6"/>
  <c r="BB25" i="6"/>
  <c r="BB20" i="6"/>
  <c r="BB17" i="6"/>
  <c r="BI65" i="6"/>
  <c r="BH70" i="6"/>
  <c r="BH74" i="6" s="1"/>
  <c r="BI44" i="6" l="1"/>
  <c r="BI46" i="6" l="1"/>
  <c r="BI47" i="6" l="1"/>
  <c r="BI51" i="6" s="1"/>
  <c r="D85" i="6"/>
  <c r="BB66" i="6"/>
  <c r="BB63" i="6"/>
  <c r="BB75" i="6"/>
  <c r="BB61" i="6"/>
  <c r="BB44" i="6"/>
  <c r="BB78" i="6"/>
  <c r="BB48" i="6"/>
  <c r="BB69" i="6"/>
  <c r="BB70" i="6"/>
  <c r="BB71" i="6"/>
  <c r="BB72" i="6"/>
  <c r="BB83" i="6"/>
  <c r="BB64" i="6"/>
  <c r="BB46" i="6"/>
  <c r="BB77" i="6"/>
  <c r="BB59" i="6"/>
  <c r="BB84" i="6"/>
  <c r="BI28" i="6" l="1"/>
  <c r="BI23" i="6"/>
  <c r="BI15" i="6"/>
  <c r="BI30" i="6" l="1"/>
  <c r="C85" i="6"/>
  <c r="E85" i="6"/>
  <c r="F85" i="6"/>
  <c r="K68" i="5" l="1"/>
  <c r="D90" i="5" l="1"/>
  <c r="D88" i="5"/>
  <c r="C78" i="5"/>
  <c r="D78" i="5"/>
  <c r="C74" i="5"/>
  <c r="C77" i="5"/>
  <c r="C76" i="5"/>
  <c r="C75" i="5"/>
  <c r="T83" i="5"/>
  <c r="D68" i="5" l="1"/>
  <c r="E68" i="5"/>
  <c r="F68" i="5"/>
  <c r="G68" i="5"/>
  <c r="H68" i="5"/>
  <c r="I68" i="5"/>
  <c r="J68" i="5"/>
  <c r="S68" i="5" s="1"/>
  <c r="X68" i="5" s="1"/>
  <c r="C68" i="5"/>
</calcChain>
</file>

<file path=xl/sharedStrings.xml><?xml version="1.0" encoding="utf-8"?>
<sst xmlns="http://schemas.openxmlformats.org/spreadsheetml/2006/main" count="557" uniqueCount="303">
  <si>
    <t>Cervantes</t>
  </si>
  <si>
    <t>Grandmother</t>
  </si>
  <si>
    <t>Death Aid</t>
  </si>
  <si>
    <t>Tagudin</t>
  </si>
  <si>
    <t>Agnes Torres</t>
  </si>
  <si>
    <t>Medical Aid</t>
  </si>
  <si>
    <t>Father</t>
  </si>
  <si>
    <t>Sta. Maria</t>
  </si>
  <si>
    <t>Main</t>
  </si>
  <si>
    <t>Surgical Aid</t>
  </si>
  <si>
    <t>Santiago</t>
  </si>
  <si>
    <t>Mother</t>
  </si>
  <si>
    <t>Narvacan</t>
  </si>
  <si>
    <t>Candon</t>
  </si>
  <si>
    <t>Aunt</t>
  </si>
  <si>
    <t>Released</t>
  </si>
  <si>
    <t>Marites Dulay</t>
  </si>
  <si>
    <t>Julius Sumbad</t>
  </si>
  <si>
    <t>Eugene Gabriel</t>
  </si>
  <si>
    <t>Hermie Gaston</t>
  </si>
  <si>
    <t>Andaya,  Richard Peter  A.</t>
  </si>
  <si>
    <t>Bea,  Carlben Dominique  A.</t>
  </si>
  <si>
    <t>Cammas,  Alvin  P.</t>
  </si>
  <si>
    <t>Delos Reyes,  Jim-Mar  F.</t>
  </si>
  <si>
    <t>Hipol, Mary Jane M.</t>
  </si>
  <si>
    <t>Lacambra,  Jonalyn  S.</t>
  </si>
  <si>
    <t>Mendoza, Zeus Vincent B.</t>
  </si>
  <si>
    <t>Millare,  Dennis  T.</t>
  </si>
  <si>
    <t>Oyando,  James O.</t>
  </si>
  <si>
    <t>Padiwan,  Ernest  D.</t>
  </si>
  <si>
    <t>Pisawen, Mayeth B.</t>
  </si>
  <si>
    <t>Ramos, Phoebe Chloe F.</t>
  </si>
  <si>
    <t>Reyes,  Geraldine  V.</t>
  </si>
  <si>
    <t>Torres,  Agnes  G.</t>
  </si>
  <si>
    <t>Valdez,  Myrna  L.</t>
  </si>
  <si>
    <t>Valenzuela, Omar C.</t>
  </si>
  <si>
    <t>Villamor, Rhoda Concepcion O.</t>
  </si>
  <si>
    <t xml:space="preserve">Villanueva,  George  R.  Jr. </t>
  </si>
  <si>
    <t>Vizcarra,  Emily  M.</t>
  </si>
  <si>
    <t>Abaniz,  Maryrose  S.</t>
  </si>
  <si>
    <t>Alcanciado, Donabel B.</t>
  </si>
  <si>
    <t>Del Rosario,  Felix  M.</t>
  </si>
  <si>
    <t>Gumallaoi,  Jacqueline  G.</t>
  </si>
  <si>
    <t>Manglioan,  Carlo  O.</t>
  </si>
  <si>
    <t>Padsing, Jeric L.</t>
  </si>
  <si>
    <t>Pascua, Rosemarie J.</t>
  </si>
  <si>
    <t>Ayawan, Jessica E.</t>
  </si>
  <si>
    <t>Bolinas,  Joey  B.</t>
  </si>
  <si>
    <t>Carbonel, Portugal A.</t>
  </si>
  <si>
    <t>Dulay, Marites S.</t>
  </si>
  <si>
    <t>Gabriel,  Eugene  D.</t>
  </si>
  <si>
    <t>Galay,  Mark Jaybee  R.</t>
  </si>
  <si>
    <t>Gandeza,  Christian  C.</t>
  </si>
  <si>
    <t>Ilagan,  Maria Ana  N.</t>
  </si>
  <si>
    <t>Incillo, Shaira Ritz A.</t>
  </si>
  <si>
    <t xml:space="preserve">Mostoles,  Larry  </t>
  </si>
  <si>
    <t>Palma,  Shirley  P.</t>
  </si>
  <si>
    <t>Ramirez, Juan Daniel B.</t>
  </si>
  <si>
    <t>Sevilleja, Lei Ann I.</t>
  </si>
  <si>
    <t>Tablada,  Joewe  M.</t>
  </si>
  <si>
    <t>Tenoc,  Gemalyn  L.</t>
  </si>
  <si>
    <t>Binay-An,  Imelda  N.</t>
  </si>
  <si>
    <t>Casillan, Delia R.</t>
  </si>
  <si>
    <t>Somera, Gemma B.</t>
  </si>
  <si>
    <t>Sumail,  Ederlina  M.</t>
  </si>
  <si>
    <t>Aguilan,  Maria Denise Lou  C.</t>
  </si>
  <si>
    <t>Capistrano,  Femarie  M.</t>
  </si>
  <si>
    <t>Del Rosario,  Anabella  G.</t>
  </si>
  <si>
    <t xml:space="preserve">Galano,  Abegail  C.  </t>
  </si>
  <si>
    <t>Las Marias  III,  Albert    H.</t>
  </si>
  <si>
    <t>Pendaden,  Marjorie  A.</t>
  </si>
  <si>
    <t>Santisteban,  Claire Antonette  V.</t>
  </si>
  <si>
    <t>Sta. Ana,  Maureen  T.</t>
  </si>
  <si>
    <t>Tresmanio,  Olga  S.</t>
  </si>
  <si>
    <t>Realizo, J.V. Augustine D.</t>
  </si>
  <si>
    <t xml:space="preserve">Menor, Richelle S. </t>
  </si>
  <si>
    <t xml:space="preserve">Cortez, Rhea P. </t>
  </si>
  <si>
    <t>Javillonar, Reymar</t>
  </si>
  <si>
    <t>Lagarteja, Delaila J.</t>
  </si>
  <si>
    <t>Eustaquio, Jona</t>
  </si>
  <si>
    <t>Lardizabal, Allan Jay</t>
  </si>
  <si>
    <t>Garlejo, Virginia</t>
  </si>
  <si>
    <t>Encarnacion, John</t>
  </si>
  <si>
    <t>Raras, Vincent</t>
  </si>
  <si>
    <t>Ramos, Phoebe</t>
  </si>
  <si>
    <t>Gonzaga, Jamie Joyce</t>
  </si>
  <si>
    <t>Mecos, Lanie</t>
  </si>
  <si>
    <t>Felicitas, Ausbert</t>
  </si>
  <si>
    <t>Campus Year-End</t>
  </si>
  <si>
    <t>Faculty Members</t>
  </si>
  <si>
    <t>No.</t>
  </si>
  <si>
    <t>TOTAL</t>
  </si>
  <si>
    <t>Permanent Faculty</t>
  </si>
  <si>
    <t>Part-time Faculty</t>
  </si>
  <si>
    <t>Permanent NTP</t>
  </si>
  <si>
    <t>Job Order</t>
  </si>
  <si>
    <t>TOTAL COLLECTION</t>
  </si>
  <si>
    <t>collected</t>
  </si>
  <si>
    <t>EXPENSES</t>
  </si>
  <si>
    <t>Food</t>
  </si>
  <si>
    <t>Gift</t>
  </si>
  <si>
    <t>Raffle Grand Prize</t>
  </si>
  <si>
    <t>Raffle Egg</t>
  </si>
  <si>
    <t>Raffle Cash Prize</t>
  </si>
  <si>
    <t>Drinks</t>
  </si>
  <si>
    <t>Stipend</t>
  </si>
  <si>
    <t>Total Expenses</t>
  </si>
  <si>
    <t>Balance</t>
  </si>
  <si>
    <t>Contri for JO Personnel</t>
  </si>
  <si>
    <t>099</t>
  </si>
  <si>
    <t>054</t>
  </si>
  <si>
    <t>lbp</t>
  </si>
  <si>
    <t>021</t>
  </si>
  <si>
    <t>cash</t>
  </si>
  <si>
    <t>061</t>
  </si>
  <si>
    <t>063</t>
  </si>
  <si>
    <t>010</t>
  </si>
  <si>
    <t>Ref. No</t>
  </si>
  <si>
    <t>089</t>
  </si>
  <si>
    <t>FACULTY</t>
  </si>
  <si>
    <t>NTPU</t>
  </si>
  <si>
    <t>Vincent Raras</t>
  </si>
  <si>
    <t>Phoebe Ramos</t>
  </si>
  <si>
    <t>Carl Ben Bea</t>
  </si>
  <si>
    <t>Raras, Vicente R.</t>
  </si>
  <si>
    <t>Remiendo, Ma. Cristina (death aid)</t>
  </si>
  <si>
    <t>Farol, Merlito (retirement)</t>
  </si>
  <si>
    <t>Estrañero, Adela (retirement)</t>
  </si>
  <si>
    <t>Amount</t>
  </si>
  <si>
    <t>Tejada, Joderick 
(death aid)</t>
  </si>
  <si>
    <t>Date of Request (January)</t>
  </si>
  <si>
    <t>Sanidad, Remely (retirement)</t>
  </si>
  <si>
    <t>Quitevis, Corazon (retirement)</t>
  </si>
  <si>
    <t>Sanidad, Victor (retirement)</t>
  </si>
  <si>
    <t>Retirement</t>
  </si>
  <si>
    <t>Claimant</t>
  </si>
  <si>
    <t>Abegail Galano</t>
  </si>
  <si>
    <t>Merlito Farol</t>
  </si>
  <si>
    <t>Adela Estranero</t>
  </si>
  <si>
    <t>Donabelle Buting</t>
  </si>
  <si>
    <t>Ma. Cristina Remiendo</t>
  </si>
  <si>
    <t>Joderick Tejada</t>
  </si>
  <si>
    <t>Janu-Feb Seed Money</t>
  </si>
  <si>
    <t>Ma. Cecilia Lazarte</t>
  </si>
  <si>
    <t>Juvy Naungayan</t>
  </si>
  <si>
    <t>Katrina Sarazawa</t>
  </si>
  <si>
    <t>Richard Dela Cruz</t>
  </si>
  <si>
    <t>Catherine Tomas</t>
  </si>
  <si>
    <t>March-April Seed Money</t>
  </si>
  <si>
    <t>Dennis Millare</t>
  </si>
  <si>
    <t xml:space="preserve">May Seed Money </t>
  </si>
  <si>
    <t>Jomar Cabreros</t>
  </si>
  <si>
    <t>Jan-Feb</t>
  </si>
  <si>
    <t>April</t>
  </si>
  <si>
    <t>May</t>
  </si>
  <si>
    <t>March</t>
  </si>
  <si>
    <t>Pabaon</t>
  </si>
  <si>
    <t>Mortuary Aid</t>
  </si>
  <si>
    <t>ISPSC TAGUDIN FACULTY UNION</t>
  </si>
  <si>
    <t>Month Requested</t>
  </si>
  <si>
    <t>Purpose</t>
  </si>
  <si>
    <t>Bea, Joy</t>
  </si>
  <si>
    <t>Buting, Donabelle (death aid</t>
  </si>
  <si>
    <t>Galano, Abegail (pabaon)</t>
  </si>
  <si>
    <t>January - Seed Money</t>
  </si>
  <si>
    <t xml:space="preserve">February - Seed Money </t>
  </si>
  <si>
    <t>Lazarte, Ma. Cecilia (mortuary)</t>
  </si>
  <si>
    <t>Naungayan, Juvy (mortuary)</t>
  </si>
  <si>
    <t>Sarazawa, Katrina (mortuary)</t>
  </si>
  <si>
    <t>Dela Cruz, Richard (mortuary)</t>
  </si>
  <si>
    <t>Tomas, Catherine (mortuary)</t>
  </si>
  <si>
    <t>March - Seed Money</t>
  </si>
  <si>
    <t>Cabreros, Jomar (mortuary)</t>
  </si>
  <si>
    <t>April - Seed Money)</t>
  </si>
  <si>
    <t>Millare, Dennis (mortuary)</t>
  </si>
  <si>
    <t>May - Seed Money</t>
  </si>
  <si>
    <t>released</t>
  </si>
  <si>
    <t>Reagan Funtanilla</t>
  </si>
  <si>
    <t>Michael Tolentino</t>
  </si>
  <si>
    <t>Joyce Abayon</t>
  </si>
  <si>
    <t>Juvie Ann Duque</t>
  </si>
  <si>
    <t>Amabelle Marcaida</t>
  </si>
  <si>
    <t>Rodney Rimbaoa</t>
  </si>
  <si>
    <t>Vanessa Oboza</t>
  </si>
  <si>
    <t>Tricia Gundran</t>
  </si>
  <si>
    <t>Grandfather</t>
  </si>
  <si>
    <t>Jane Moreno</t>
  </si>
  <si>
    <t>Abraham Toquero</t>
  </si>
  <si>
    <t>Husband</t>
  </si>
  <si>
    <t>Sister</t>
  </si>
  <si>
    <t>Elena Calpito</t>
  </si>
  <si>
    <t>May-Nov</t>
  </si>
  <si>
    <t>June- November Seed Money</t>
  </si>
  <si>
    <t>Reagan Funtanilla (mortuary)</t>
  </si>
  <si>
    <t>Michael Tolentino (mortuary)</t>
  </si>
  <si>
    <t>Amabelle Marcaida (mortuary)</t>
  </si>
  <si>
    <t>Joyce Abayon (mortuary)</t>
  </si>
  <si>
    <t>Juvie Ann Duque (surgical)</t>
  </si>
  <si>
    <t>Rodney Rimbaoa (mortuary)</t>
  </si>
  <si>
    <t>Vanessa Oboza (mortuary)</t>
  </si>
  <si>
    <t>Tricia Gundran (mortuary)</t>
  </si>
  <si>
    <t>Jane Moreno (mortuary)</t>
  </si>
  <si>
    <t>Richard Dela Cruz (mortuary)</t>
  </si>
  <si>
    <t>Elena Calpito (retirement)</t>
  </si>
  <si>
    <t>Abraham Toquero (retirement)</t>
  </si>
  <si>
    <t>Michael Vincent Holmes</t>
  </si>
  <si>
    <t>Michael Vincent Holmes (surgical)</t>
  </si>
  <si>
    <t>June-November Seed Money</t>
  </si>
  <si>
    <t>For contractual:</t>
  </si>
  <si>
    <t>August - November Seed Money</t>
  </si>
  <si>
    <t>Membership Fee</t>
  </si>
  <si>
    <t>december seed money</t>
  </si>
  <si>
    <t>annual dues</t>
  </si>
  <si>
    <t>December Seed Money</t>
  </si>
  <si>
    <t>Annual Dues 2025</t>
  </si>
  <si>
    <t>Villegas, Lei Ann I.</t>
  </si>
  <si>
    <t>Gabuyo, Melody N.</t>
  </si>
  <si>
    <t>Corpuz, Kenneth Johnson Corpuz</t>
  </si>
  <si>
    <t>Sabandal, Dharsinero S.</t>
  </si>
  <si>
    <t>Libertino, Krisha Camille</t>
  </si>
  <si>
    <t>Batara, Jay-Jay</t>
  </si>
  <si>
    <t>Gadingan, Rey</t>
  </si>
  <si>
    <t xml:space="preserve">Banang, Jonathan </t>
  </si>
  <si>
    <t>Dolor, Blessie Asuncion</t>
  </si>
  <si>
    <t>Jaramilla, Mary Jane</t>
  </si>
  <si>
    <t>Garcia, Eduardo Jr. E</t>
  </si>
  <si>
    <t>Montes, Princess</t>
  </si>
  <si>
    <t>Lucina, Rodolfo Jr.</t>
  </si>
  <si>
    <t xml:space="preserve">Tangco, Krystel </t>
  </si>
  <si>
    <t>Lapitan, Norhainah</t>
  </si>
  <si>
    <t>Terredaño, Andy Mamerto</t>
  </si>
  <si>
    <t>Paulo, Juliet</t>
  </si>
  <si>
    <t>Inocencio, Sebastianne Miguel</t>
  </si>
  <si>
    <t>Valdez, Dexter G.</t>
  </si>
  <si>
    <t>Jacosalem, Grace</t>
  </si>
  <si>
    <t>Santiago, Clyde Jesly</t>
  </si>
  <si>
    <t>Haduca, John Paolo</t>
  </si>
  <si>
    <t>Acosta, Raffy</t>
  </si>
  <si>
    <t>Maballo, Ramil Dick</t>
  </si>
  <si>
    <t>Alcanciado, Hannah Pauline</t>
  </si>
  <si>
    <t>Picardal, Mark Paulo</t>
  </si>
  <si>
    <t>Macaso, Dexter</t>
  </si>
  <si>
    <t>Legaspina, Glenn</t>
  </si>
  <si>
    <t>Pambid, Rosita</t>
  </si>
  <si>
    <t>TOTAL (JANUARY - MAY)</t>
  </si>
  <si>
    <t>TOTAL (MAY - NOVEMBER)</t>
  </si>
  <si>
    <t xml:space="preserve">Santiago </t>
  </si>
  <si>
    <t>Sta Maria</t>
  </si>
  <si>
    <t>March 16, 2026</t>
  </si>
  <si>
    <t>Sinamar Balio-an -Main</t>
  </si>
  <si>
    <t>Maribel Ibañez - Main</t>
  </si>
  <si>
    <t xml:space="preserve">Tablada, Joey - Tagudin </t>
  </si>
  <si>
    <t>January 28, 2026</t>
  </si>
  <si>
    <t>Lailani Mecos - Main</t>
  </si>
  <si>
    <t>Mary Rose Abaniz - Tagudin</t>
  </si>
  <si>
    <t>January 20, 2026</t>
  </si>
  <si>
    <t>Severino Alviento - Main</t>
  </si>
  <si>
    <t>Erna Cabañero - Main</t>
  </si>
  <si>
    <t>---</t>
  </si>
  <si>
    <t>Geraldine Gonzaga - Candon</t>
  </si>
  <si>
    <t>January 17, 2026</t>
  </si>
  <si>
    <t>January 15, 2026</t>
  </si>
  <si>
    <t>Emmanuel Ojas - Sta. Maria PT</t>
  </si>
  <si>
    <t xml:space="preserve">Voluntary </t>
  </si>
  <si>
    <t>Surgical</t>
  </si>
  <si>
    <t>Larry Mostoles</t>
  </si>
  <si>
    <t>Dec-April Seed Money</t>
  </si>
  <si>
    <t>TOTAL DUES</t>
  </si>
  <si>
    <t xml:space="preserve">ZJ Villanueva </t>
  </si>
  <si>
    <t>Eustaquio, Jonaline Z.</t>
  </si>
  <si>
    <t>Mary Grace Gacusan</t>
  </si>
  <si>
    <t>Marnesse Sobremonte</t>
  </si>
  <si>
    <t>Labitoria, Jhune Lester</t>
  </si>
  <si>
    <t>1-20</t>
  </si>
  <si>
    <t>1-17</t>
  </si>
  <si>
    <t>Sinamar Balio-an (Death Aid)</t>
  </si>
  <si>
    <t>Mary Rose Abaniz (Medical)</t>
  </si>
  <si>
    <t>Severino Alviento (retirement)</t>
  </si>
  <si>
    <t>Erna Cabañero (retirement)</t>
  </si>
  <si>
    <t>Lailani Mecos (Death aid)</t>
  </si>
  <si>
    <t>1-28</t>
  </si>
  <si>
    <t>1</t>
  </si>
  <si>
    <t>Joewe Tablada (retirement)</t>
  </si>
  <si>
    <t>3-16</t>
  </si>
  <si>
    <t>Maribel Ibañez (Death Aid)</t>
  </si>
  <si>
    <t>Larry Mostoles (Death Aid)</t>
  </si>
  <si>
    <t>Geraldine Gonzaga (Death Aid)</t>
  </si>
  <si>
    <t>ZJ Villanueva (Surgical)</t>
  </si>
  <si>
    <t>TOTAL (JAN-MAR 2026</t>
  </si>
  <si>
    <t>Advance (Deposit)</t>
  </si>
  <si>
    <t>Manansala, John</t>
  </si>
  <si>
    <t>Sison, Lloyd Adrian D.</t>
  </si>
  <si>
    <t>Galacio, Franz Louie</t>
  </si>
  <si>
    <t>Quiroga, Rogelio</t>
  </si>
  <si>
    <t>Flores, Kenedy</t>
  </si>
  <si>
    <t>Jazmin Alabaso</t>
  </si>
  <si>
    <t>July 2, 2026</t>
  </si>
  <si>
    <t xml:space="preserve">Death Aid </t>
  </si>
  <si>
    <t>Ariene Villanueva</t>
  </si>
  <si>
    <t>Maria Ana Ilagan</t>
  </si>
  <si>
    <t>Agnes Torre</t>
  </si>
  <si>
    <t>Jonalyn Lacambra</t>
  </si>
  <si>
    <t>Atty. Joe Cabatu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</si>
</sst>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Arial Narrow"/>
      <family val="2"/>
    </font>
    <font>
      <b/>
      <sz val="20"/>
      <color theme="1"/>
      <name val="Arial Narrow"/>
      <family val="2"/>
    </font>
    <font>
      <sz val="11"/>
      <color rgb="FFFF0000"/>
      <name val="Arial Narrow"/>
      <family val="2"/>
    </font>
    <font>
      <sz val="11"/>
      <color rgb="FF00B050"/>
      <name val="Arial Narrow"/>
      <family val="2"/>
    </font>
    <font>
      <b/>
      <sz val="11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textRotation="90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1" fillId="0" borderId="0" xfId="0" applyNumberFormat="1" applyFont="1"/>
    <xf numFmtId="43" fontId="1" fillId="0" borderId="0" xfId="1" applyFont="1"/>
    <xf numFmtId="0" fontId="1" fillId="0" borderId="0" xfId="0" applyFont="1" applyAlignment="1">
      <alignment horizontal="left"/>
    </xf>
    <xf numFmtId="0" fontId="1" fillId="0" borderId="1" xfId="0" quotePrefix="1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43" fontId="1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0" fontId="1" fillId="5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/>
    <xf numFmtId="0" fontId="1" fillId="0" borderId="0" xfId="0" applyFont="1" applyFill="1"/>
    <xf numFmtId="0" fontId="3" fillId="0" borderId="1" xfId="0" applyFont="1" applyFill="1" applyBorder="1"/>
    <xf numFmtId="0" fontId="1" fillId="3" borderId="1" xfId="0" applyFont="1" applyFill="1" applyBorder="1" applyAlignment="1">
      <alignment horizontal="center" textRotation="90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/>
    </xf>
    <xf numFmtId="0" fontId="1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Fill="1" applyBorder="1"/>
    <xf numFmtId="0" fontId="1" fillId="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6" fontId="1" fillId="4" borderId="1" xfId="0" applyNumberFormat="1" applyFont="1" applyFill="1" applyBorder="1" applyAlignment="1">
      <alignment horizontal="center"/>
    </xf>
    <xf numFmtId="17" fontId="1" fillId="4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7" fillId="2" borderId="1" xfId="0" applyFont="1" applyFill="1" applyBorder="1"/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7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7" fontId="1" fillId="0" borderId="7" xfId="0" applyNumberFormat="1" applyFont="1" applyFill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43" fontId="2" fillId="0" borderId="7" xfId="1" applyFont="1" applyFill="1" applyBorder="1" applyAlignment="1">
      <alignment horizontal="center"/>
    </xf>
    <xf numFmtId="43" fontId="2" fillId="5" borderId="2" xfId="1" applyFont="1" applyFill="1" applyBorder="1" applyAlignment="1">
      <alignment horizontal="center"/>
    </xf>
    <xf numFmtId="17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43" fontId="2" fillId="5" borderId="3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textRotation="90" wrapText="1"/>
    </xf>
    <xf numFmtId="0" fontId="2" fillId="0" borderId="1" xfId="0" applyFont="1" applyFill="1" applyBorder="1" applyAlignment="1">
      <alignment horizontal="center"/>
    </xf>
    <xf numFmtId="43" fontId="1" fillId="0" borderId="0" xfId="0" applyNumberFormat="1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17" fontId="1" fillId="0" borderId="0" xfId="0" applyNumberFormat="1" applyFont="1"/>
    <xf numFmtId="0" fontId="1" fillId="0" borderId="0" xfId="0" quotePrefix="1" applyFont="1"/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4" borderId="1" xfId="0" quotePrefix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0" borderId="0" xfId="0" applyFont="1" applyAlignment="1"/>
    <xf numFmtId="0" fontId="1" fillId="0" borderId="0" xfId="0" applyFont="1" applyFill="1" applyAlignment="1"/>
    <xf numFmtId="0" fontId="9" fillId="5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17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17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5" borderId="3" xfId="0" applyFont="1" applyFill="1" applyBorder="1"/>
    <xf numFmtId="43" fontId="9" fillId="5" borderId="3" xfId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43" fontId="9" fillId="0" borderId="0" xfId="0" applyNumberFormat="1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4" xfId="0" applyFont="1" applyFill="1" applyBorder="1" applyAlignment="1">
      <alignment horizontal="center" textRotation="90"/>
    </xf>
    <xf numFmtId="0" fontId="1" fillId="3" borderId="5" xfId="0" applyFont="1" applyFill="1" applyBorder="1" applyAlignment="1">
      <alignment horizontal="center" textRotation="90"/>
    </xf>
    <xf numFmtId="0" fontId="2" fillId="5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31"/>
  <sheetViews>
    <sheetView view="pageBreakPreview" zoomScale="110" zoomScaleNormal="100" workbookViewId="0">
      <selection activeCell="I23" sqref="I23"/>
    </sheetView>
  </sheetViews>
  <sheetFormatPr defaultRowHeight="14.4" x14ac:dyDescent="0.3"/>
  <cols>
    <col min="1" max="1" width="16.88671875" customWidth="1"/>
    <col min="2" max="15" width="7.77734375" style="3" customWidth="1"/>
  </cols>
  <sheetData>
    <row r="2" spans="1:15" x14ac:dyDescent="0.3">
      <c r="A2" t="s">
        <v>119</v>
      </c>
    </row>
    <row r="3" spans="1:15" x14ac:dyDescent="0.3">
      <c r="A3" s="4"/>
      <c r="B3" s="102" t="s">
        <v>3</v>
      </c>
      <c r="C3" s="102"/>
      <c r="D3" s="102" t="s">
        <v>0</v>
      </c>
      <c r="E3" s="102"/>
      <c r="F3" s="102" t="s">
        <v>13</v>
      </c>
      <c r="G3" s="102"/>
      <c r="H3" s="102" t="s">
        <v>8</v>
      </c>
      <c r="I3" s="102"/>
      <c r="J3" s="102" t="s">
        <v>10</v>
      </c>
      <c r="K3" s="102"/>
      <c r="L3" s="102" t="s">
        <v>7</v>
      </c>
      <c r="M3" s="102"/>
      <c r="N3" s="100" t="s">
        <v>12</v>
      </c>
      <c r="O3" s="101"/>
    </row>
    <row r="4" spans="1:15" x14ac:dyDescent="0.3">
      <c r="A4" s="4" t="s">
        <v>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 t="s">
        <v>15</v>
      </c>
      <c r="N4" s="5">
        <v>2200</v>
      </c>
      <c r="O4" s="5" t="s">
        <v>15</v>
      </c>
    </row>
    <row r="5" spans="1:15" x14ac:dyDescent="0.3">
      <c r="A5" s="4" t="s">
        <v>16</v>
      </c>
      <c r="B5" s="5">
        <v>2700</v>
      </c>
      <c r="C5" s="5" t="s">
        <v>15</v>
      </c>
      <c r="D5" s="5"/>
      <c r="E5" s="5"/>
      <c r="F5" s="5"/>
      <c r="G5" s="5"/>
      <c r="H5" s="5"/>
      <c r="I5" s="5"/>
      <c r="J5" s="5"/>
      <c r="K5" s="5"/>
      <c r="L5" s="5">
        <v>4700</v>
      </c>
      <c r="M5" s="5" t="s">
        <v>15</v>
      </c>
      <c r="N5" s="5"/>
      <c r="O5" s="5" t="s">
        <v>15</v>
      </c>
    </row>
    <row r="6" spans="1:15" x14ac:dyDescent="0.3">
      <c r="A6" s="4" t="s">
        <v>4</v>
      </c>
      <c r="B6" s="5"/>
      <c r="C6" s="5"/>
      <c r="D6" s="5"/>
      <c r="E6" s="5"/>
      <c r="F6" s="5"/>
      <c r="G6" s="5"/>
      <c r="H6" s="28">
        <v>4800</v>
      </c>
      <c r="I6" s="28" t="s">
        <v>15</v>
      </c>
      <c r="J6" s="5"/>
      <c r="K6" s="5"/>
      <c r="L6" s="5">
        <v>4700</v>
      </c>
      <c r="M6" s="5" t="s">
        <v>15</v>
      </c>
      <c r="N6" s="5"/>
      <c r="O6" s="5"/>
    </row>
    <row r="7" spans="1:15" x14ac:dyDescent="0.3">
      <c r="A7" s="4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>
        <v>4700</v>
      </c>
      <c r="M7" s="5" t="s">
        <v>15</v>
      </c>
      <c r="N7" s="5">
        <v>550</v>
      </c>
      <c r="O7" s="5" t="s">
        <v>15</v>
      </c>
    </row>
    <row r="8" spans="1:15" x14ac:dyDescent="0.3">
      <c r="A8" s="4" t="s">
        <v>19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9400</v>
      </c>
      <c r="M8" s="5" t="s">
        <v>15</v>
      </c>
      <c r="N8" s="5"/>
      <c r="O8" s="5"/>
    </row>
    <row r="9" spans="1:15" x14ac:dyDescent="0.3">
      <c r="A9" s="4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3">
      <c r="A11" s="4" t="s">
        <v>121</v>
      </c>
      <c r="B11" s="5">
        <v>3050</v>
      </c>
      <c r="C11" s="5" t="s">
        <v>15</v>
      </c>
      <c r="D11" s="5">
        <v>1050</v>
      </c>
      <c r="E11" s="5" t="s">
        <v>15</v>
      </c>
      <c r="F11" s="5">
        <v>1050</v>
      </c>
      <c r="G11" s="5" t="s">
        <v>15</v>
      </c>
      <c r="H11" s="5">
        <v>4850</v>
      </c>
      <c r="I11" s="47" t="s">
        <v>15</v>
      </c>
      <c r="J11" s="5">
        <v>850</v>
      </c>
      <c r="K11" s="5" t="s">
        <v>15</v>
      </c>
      <c r="L11" s="5">
        <v>4900</v>
      </c>
      <c r="M11" s="5" t="s">
        <v>15</v>
      </c>
      <c r="N11" s="5">
        <v>550</v>
      </c>
      <c r="O11" s="71" t="s">
        <v>15</v>
      </c>
    </row>
    <row r="12" spans="1:15" x14ac:dyDescent="0.3">
      <c r="A12" s="4" t="s">
        <v>122</v>
      </c>
      <c r="B12" s="5">
        <v>3050</v>
      </c>
      <c r="C12" s="5" t="s">
        <v>15</v>
      </c>
      <c r="D12" s="5">
        <v>1050</v>
      </c>
      <c r="E12" s="5" t="s">
        <v>15</v>
      </c>
      <c r="F12" s="5"/>
      <c r="G12" s="5"/>
      <c r="H12" s="5"/>
      <c r="I12" s="5"/>
      <c r="J12" s="5">
        <v>850</v>
      </c>
      <c r="K12" s="5" t="s">
        <v>15</v>
      </c>
      <c r="L12" s="5">
        <v>4700</v>
      </c>
      <c r="M12" s="5" t="s">
        <v>15</v>
      </c>
      <c r="N12" s="5"/>
      <c r="O12" s="5"/>
    </row>
    <row r="13" spans="1:15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8" spans="1:15" x14ac:dyDescent="0.3">
      <c r="A18" t="s">
        <v>120</v>
      </c>
    </row>
    <row r="19" spans="1:15" x14ac:dyDescent="0.3">
      <c r="A19" s="4"/>
      <c r="B19" s="102" t="s">
        <v>3</v>
      </c>
      <c r="C19" s="102"/>
      <c r="D19" s="102" t="s">
        <v>0</v>
      </c>
      <c r="E19" s="102"/>
      <c r="F19" s="102" t="s">
        <v>13</v>
      </c>
      <c r="G19" s="102"/>
      <c r="H19" s="102" t="s">
        <v>8</v>
      </c>
      <c r="I19" s="102"/>
      <c r="J19" s="102" t="s">
        <v>10</v>
      </c>
      <c r="K19" s="102"/>
      <c r="L19" s="102" t="s">
        <v>7</v>
      </c>
      <c r="M19" s="102"/>
      <c r="N19" s="100" t="s">
        <v>12</v>
      </c>
      <c r="O19" s="101"/>
    </row>
    <row r="20" spans="1:15" x14ac:dyDescent="0.3">
      <c r="A20" s="4" t="s">
        <v>17</v>
      </c>
      <c r="B20" s="24"/>
      <c r="C20" s="24"/>
      <c r="D20" s="24"/>
      <c r="E20" s="24"/>
      <c r="F20" s="24"/>
      <c r="G20" s="24"/>
      <c r="H20" s="24">
        <v>5800</v>
      </c>
      <c r="I20" s="24" t="s">
        <v>15</v>
      </c>
      <c r="J20" s="24"/>
      <c r="K20" s="24"/>
      <c r="L20" s="24"/>
      <c r="M20" s="24" t="s">
        <v>15</v>
      </c>
      <c r="N20" s="24">
        <v>2200</v>
      </c>
      <c r="O20" s="24" t="s">
        <v>15</v>
      </c>
    </row>
    <row r="21" spans="1:15" x14ac:dyDescent="0.3">
      <c r="A21" s="4" t="s">
        <v>16</v>
      </c>
      <c r="B21" s="24">
        <v>2700</v>
      </c>
      <c r="C21" s="24" t="s">
        <v>15</v>
      </c>
      <c r="D21" s="24">
        <v>800</v>
      </c>
      <c r="E21" s="24" t="s">
        <v>15</v>
      </c>
      <c r="F21" s="29">
        <v>650</v>
      </c>
      <c r="G21" s="29" t="s">
        <v>15</v>
      </c>
      <c r="H21" s="24">
        <v>1950</v>
      </c>
      <c r="I21" s="24" t="s">
        <v>15</v>
      </c>
      <c r="J21" s="24"/>
      <c r="K21" s="24"/>
      <c r="L21" s="24">
        <v>3650</v>
      </c>
      <c r="M21" s="24" t="s">
        <v>15</v>
      </c>
      <c r="N21" s="24">
        <v>700</v>
      </c>
      <c r="O21" s="24" t="s">
        <v>15</v>
      </c>
    </row>
    <row r="22" spans="1:15" x14ac:dyDescent="0.3">
      <c r="A22" s="4" t="s">
        <v>4</v>
      </c>
      <c r="B22" s="24">
        <v>850</v>
      </c>
      <c r="C22" s="28" t="s">
        <v>15</v>
      </c>
      <c r="D22" s="24">
        <v>800</v>
      </c>
      <c r="E22" s="24" t="s">
        <v>15</v>
      </c>
      <c r="F22" s="29">
        <v>650</v>
      </c>
      <c r="G22" s="29" t="s">
        <v>15</v>
      </c>
      <c r="H22" s="24">
        <v>1950</v>
      </c>
      <c r="I22" s="24" t="s">
        <v>15</v>
      </c>
      <c r="K22" s="24"/>
      <c r="L22" s="24">
        <v>3650</v>
      </c>
      <c r="M22" s="24" t="s">
        <v>15</v>
      </c>
      <c r="N22" s="24"/>
      <c r="O22" s="24"/>
    </row>
    <row r="23" spans="1:15" x14ac:dyDescent="0.3">
      <c r="A23" s="4" t="s">
        <v>18</v>
      </c>
      <c r="B23" s="24"/>
      <c r="C23" s="24"/>
      <c r="D23" s="24">
        <v>800</v>
      </c>
      <c r="E23" s="24" t="s">
        <v>15</v>
      </c>
      <c r="F23" s="24">
        <v>650</v>
      </c>
      <c r="G23" s="24" t="s">
        <v>15</v>
      </c>
      <c r="H23" s="24">
        <v>1950</v>
      </c>
      <c r="I23" s="24" t="s">
        <v>15</v>
      </c>
      <c r="J23" s="24"/>
      <c r="K23" s="24"/>
      <c r="L23" s="24">
        <v>3650</v>
      </c>
      <c r="M23" s="24" t="s">
        <v>15</v>
      </c>
      <c r="N23" s="24">
        <v>700</v>
      </c>
      <c r="O23" s="24" t="s">
        <v>15</v>
      </c>
    </row>
    <row r="24" spans="1:15" x14ac:dyDescent="0.3">
      <c r="A24" s="4" t="s">
        <v>19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 t="s">
        <v>15</v>
      </c>
      <c r="N24" s="24"/>
      <c r="O24" s="24"/>
    </row>
    <row r="25" spans="1:15" x14ac:dyDescent="0.3">
      <c r="A25" s="4" t="s">
        <v>123</v>
      </c>
      <c r="B25" s="29"/>
      <c r="C25" s="29"/>
      <c r="D25" s="29"/>
      <c r="E25" s="29"/>
      <c r="F25" s="29">
        <v>650</v>
      </c>
      <c r="G25" s="29" t="s">
        <v>15</v>
      </c>
      <c r="H25" s="29"/>
      <c r="I25" s="29"/>
      <c r="J25" s="29"/>
      <c r="K25" s="29"/>
      <c r="L25" s="29">
        <v>3650</v>
      </c>
      <c r="M25" s="29"/>
      <c r="N25" s="29">
        <v>700</v>
      </c>
      <c r="O25" s="29" t="s">
        <v>15</v>
      </c>
    </row>
    <row r="26" spans="1:15" x14ac:dyDescent="0.3">
      <c r="A26" s="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 x14ac:dyDescent="0.3">
      <c r="A27" s="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1:15" x14ac:dyDescent="0.3">
      <c r="A28" s="4" t="s">
        <v>121</v>
      </c>
      <c r="B28" s="24">
        <v>800</v>
      </c>
      <c r="C28" s="24" t="s">
        <v>15</v>
      </c>
      <c r="D28" s="24">
        <v>800</v>
      </c>
      <c r="E28" s="24" t="s">
        <v>15</v>
      </c>
      <c r="F28" s="24">
        <v>650</v>
      </c>
      <c r="G28" s="24" t="s">
        <v>15</v>
      </c>
      <c r="H28" s="24">
        <v>1950</v>
      </c>
      <c r="I28" s="24"/>
      <c r="J28" s="24">
        <v>550</v>
      </c>
      <c r="K28" s="24" t="s">
        <v>15</v>
      </c>
      <c r="L28" s="24"/>
      <c r="M28" s="24"/>
      <c r="N28" s="24">
        <v>700</v>
      </c>
      <c r="O28" s="24"/>
    </row>
    <row r="29" spans="1:15" x14ac:dyDescent="0.3">
      <c r="A29" s="4" t="s">
        <v>122</v>
      </c>
      <c r="B29" s="24">
        <v>800</v>
      </c>
      <c r="C29" s="24" t="s">
        <v>15</v>
      </c>
      <c r="D29" s="24">
        <v>800</v>
      </c>
      <c r="E29" s="24" t="s">
        <v>15</v>
      </c>
      <c r="F29" s="24">
        <v>650</v>
      </c>
      <c r="G29" s="24" t="s">
        <v>15</v>
      </c>
      <c r="H29" s="24"/>
      <c r="I29" s="24"/>
      <c r="J29" s="24">
        <v>550</v>
      </c>
      <c r="K29" s="24" t="s">
        <v>15</v>
      </c>
      <c r="L29" s="24">
        <v>3650</v>
      </c>
      <c r="M29" s="24" t="s">
        <v>15</v>
      </c>
      <c r="N29" s="24"/>
      <c r="O29" s="24"/>
    </row>
    <row r="30" spans="1:15" x14ac:dyDescent="0.3">
      <c r="A30" s="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3">
      <c r="A31" s="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</sheetData>
  <mergeCells count="14">
    <mergeCell ref="N3:O3"/>
    <mergeCell ref="L19:M19"/>
    <mergeCell ref="L3:M3"/>
    <mergeCell ref="B3:C3"/>
    <mergeCell ref="D3:E3"/>
    <mergeCell ref="F3:G3"/>
    <mergeCell ref="H3:I3"/>
    <mergeCell ref="J3:K3"/>
    <mergeCell ref="B19:C19"/>
    <mergeCell ref="D19:E19"/>
    <mergeCell ref="F19:G19"/>
    <mergeCell ref="H19:I19"/>
    <mergeCell ref="J19:K19"/>
    <mergeCell ref="N19:O19"/>
  </mergeCells>
  <pageMargins left="0.7" right="0.7" top="0.75" bottom="0.75" header="0.3" footer="0.3"/>
  <pageSetup paperSize="9" fitToWidth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90"/>
  <sheetViews>
    <sheetView zoomScale="97" zoomScaleNormal="100" workbookViewId="0">
      <pane ySplit="3" topLeftCell="A19" activePane="bottomLeft" state="frozen"/>
      <selection pane="bottomLeft" activeCell="M2" sqref="M2:O2"/>
    </sheetView>
  </sheetViews>
  <sheetFormatPr defaultRowHeight="13.8" x14ac:dyDescent="0.25"/>
  <cols>
    <col min="1" max="1" width="5.44140625" style="10" customWidth="1"/>
    <col min="2" max="2" width="23" style="9" customWidth="1"/>
    <col min="3" max="9" width="6" style="10" customWidth="1"/>
    <col min="10" max="10" width="6.77734375" style="10" customWidth="1"/>
    <col min="11" max="11" width="9.5546875" style="10" customWidth="1"/>
    <col min="12" max="12" width="8.5546875" style="10" customWidth="1"/>
    <col min="13" max="13" width="6.21875" style="10" customWidth="1"/>
    <col min="14" max="14" width="4.88671875" style="10" customWidth="1"/>
    <col min="15" max="15" width="5.88671875" style="10" customWidth="1"/>
    <col min="16" max="18" width="3.44140625" style="10" customWidth="1"/>
    <col min="19" max="16384" width="8.88671875" style="9"/>
  </cols>
  <sheetData>
    <row r="2" spans="1:18" ht="94.2" customHeight="1" x14ac:dyDescent="0.25">
      <c r="A2" s="13" t="s">
        <v>90</v>
      </c>
      <c r="B2" s="13" t="s">
        <v>89</v>
      </c>
      <c r="C2" s="14" t="s">
        <v>81</v>
      </c>
      <c r="D2" s="14" t="s">
        <v>82</v>
      </c>
      <c r="E2" s="14" t="s">
        <v>83</v>
      </c>
      <c r="F2" s="14" t="s">
        <v>84</v>
      </c>
      <c r="G2" s="14" t="s">
        <v>85</v>
      </c>
      <c r="H2" s="14" t="s">
        <v>86</v>
      </c>
      <c r="I2" s="14" t="s">
        <v>87</v>
      </c>
      <c r="J2" s="14" t="s">
        <v>88</v>
      </c>
      <c r="K2" s="103" t="s">
        <v>108</v>
      </c>
      <c r="L2" s="104"/>
      <c r="M2" s="33" t="s">
        <v>131</v>
      </c>
      <c r="N2" s="33" t="s">
        <v>132</v>
      </c>
      <c r="O2" s="33" t="s">
        <v>133</v>
      </c>
      <c r="P2" s="14"/>
      <c r="Q2" s="14"/>
      <c r="R2" s="14"/>
    </row>
    <row r="3" spans="1:18" s="15" customFormat="1" x14ac:dyDescent="0.25">
      <c r="A3" s="11"/>
      <c r="B3" s="12"/>
      <c r="C3" s="11">
        <v>50</v>
      </c>
      <c r="D3" s="11">
        <v>100</v>
      </c>
      <c r="E3" s="11">
        <v>50</v>
      </c>
      <c r="F3" s="11">
        <v>50</v>
      </c>
      <c r="G3" s="11">
        <v>100</v>
      </c>
      <c r="H3" s="11">
        <v>50</v>
      </c>
      <c r="I3" s="11">
        <v>50</v>
      </c>
      <c r="J3" s="11">
        <v>300</v>
      </c>
      <c r="K3" s="11">
        <v>300</v>
      </c>
      <c r="L3" s="11" t="s">
        <v>117</v>
      </c>
      <c r="M3" s="11">
        <v>100</v>
      </c>
      <c r="N3" s="11">
        <v>100</v>
      </c>
      <c r="O3" s="11">
        <v>100</v>
      </c>
      <c r="P3" s="11"/>
      <c r="Q3" s="11"/>
      <c r="R3" s="11"/>
    </row>
    <row r="4" spans="1:18" x14ac:dyDescent="0.25">
      <c r="A4" s="6">
        <v>1</v>
      </c>
      <c r="B4" s="7" t="s">
        <v>20</v>
      </c>
      <c r="C4" s="2">
        <v>50</v>
      </c>
      <c r="D4" s="2">
        <v>100</v>
      </c>
      <c r="E4" s="2">
        <v>50</v>
      </c>
      <c r="F4" s="2">
        <v>50</v>
      </c>
      <c r="G4" s="2">
        <v>100</v>
      </c>
      <c r="H4" s="2">
        <v>50</v>
      </c>
      <c r="I4" s="2">
        <v>50</v>
      </c>
      <c r="J4" s="2">
        <v>300</v>
      </c>
      <c r="K4" s="2">
        <v>300</v>
      </c>
      <c r="L4" s="2">
        <v>123</v>
      </c>
      <c r="M4" s="2"/>
      <c r="N4" s="2"/>
      <c r="O4" s="2"/>
      <c r="P4" s="2"/>
      <c r="Q4" s="2"/>
      <c r="R4" s="2"/>
    </row>
    <row r="5" spans="1:18" x14ac:dyDescent="0.25">
      <c r="A5" s="6">
        <v>2</v>
      </c>
      <c r="B5" s="7" t="s">
        <v>21</v>
      </c>
      <c r="C5" s="2">
        <v>50</v>
      </c>
      <c r="D5" s="2">
        <v>100</v>
      </c>
      <c r="E5" s="2">
        <v>50</v>
      </c>
      <c r="F5" s="2">
        <v>50</v>
      </c>
      <c r="G5" s="2">
        <v>100</v>
      </c>
      <c r="H5" s="2">
        <v>50</v>
      </c>
      <c r="I5" s="2">
        <v>50</v>
      </c>
      <c r="J5" s="2">
        <v>300</v>
      </c>
      <c r="K5" s="2">
        <v>300</v>
      </c>
      <c r="L5" s="2"/>
      <c r="M5" s="2"/>
      <c r="N5" s="2"/>
      <c r="O5" s="2"/>
      <c r="P5" s="2"/>
      <c r="Q5" s="2"/>
      <c r="R5" s="2"/>
    </row>
    <row r="6" spans="1:18" x14ac:dyDescent="0.25">
      <c r="A6" s="6">
        <v>3</v>
      </c>
      <c r="B6" s="7" t="s">
        <v>22</v>
      </c>
      <c r="C6" s="2">
        <v>50</v>
      </c>
      <c r="D6" s="2">
        <v>100</v>
      </c>
      <c r="E6" s="2">
        <v>50</v>
      </c>
      <c r="F6" s="2">
        <v>50</v>
      </c>
      <c r="G6" s="2">
        <v>100</v>
      </c>
      <c r="H6" s="2">
        <v>50</v>
      </c>
      <c r="I6" s="2">
        <v>50</v>
      </c>
      <c r="J6" s="2">
        <v>300</v>
      </c>
      <c r="K6" s="25">
        <v>300</v>
      </c>
      <c r="L6" s="25">
        <v>919</v>
      </c>
      <c r="M6" s="2"/>
      <c r="N6" s="2"/>
      <c r="O6" s="2"/>
      <c r="P6" s="2"/>
      <c r="Q6" s="2"/>
      <c r="R6" s="2"/>
    </row>
    <row r="7" spans="1:18" x14ac:dyDescent="0.25">
      <c r="A7" s="6">
        <v>4</v>
      </c>
      <c r="B7" s="7" t="s">
        <v>23</v>
      </c>
      <c r="C7" s="2">
        <v>50</v>
      </c>
      <c r="D7" s="2">
        <v>100</v>
      </c>
      <c r="E7" s="2">
        <v>50</v>
      </c>
      <c r="F7" s="2">
        <v>50</v>
      </c>
      <c r="G7" s="2">
        <v>100</v>
      </c>
      <c r="H7" s="2">
        <v>50</v>
      </c>
      <c r="I7" s="2">
        <v>50</v>
      </c>
      <c r="J7" s="2">
        <v>300</v>
      </c>
      <c r="K7" s="2">
        <v>300</v>
      </c>
      <c r="L7" s="2"/>
      <c r="M7" s="2"/>
      <c r="N7" s="2"/>
      <c r="O7" s="2"/>
      <c r="P7" s="2"/>
      <c r="Q7" s="2"/>
      <c r="R7" s="2"/>
    </row>
    <row r="8" spans="1:18" x14ac:dyDescent="0.25">
      <c r="A8" s="6">
        <v>5</v>
      </c>
      <c r="B8" s="48" t="s">
        <v>79</v>
      </c>
      <c r="C8" s="2">
        <v>50</v>
      </c>
      <c r="D8" s="2">
        <v>100</v>
      </c>
      <c r="E8" s="2">
        <v>50</v>
      </c>
      <c r="F8" s="2">
        <v>50</v>
      </c>
      <c r="G8" s="2">
        <v>100</v>
      </c>
      <c r="H8" s="2">
        <v>50</v>
      </c>
      <c r="I8" s="2">
        <v>50</v>
      </c>
      <c r="J8" s="2">
        <v>300</v>
      </c>
      <c r="K8" s="2">
        <v>300</v>
      </c>
      <c r="L8" s="2">
        <v>775</v>
      </c>
      <c r="M8" s="2"/>
      <c r="N8" s="2"/>
      <c r="O8" s="2"/>
      <c r="P8" s="2"/>
      <c r="Q8" s="2"/>
      <c r="R8" s="2"/>
    </row>
    <row r="9" spans="1:18" x14ac:dyDescent="0.25">
      <c r="A9" s="6">
        <v>6</v>
      </c>
      <c r="B9" s="7" t="s">
        <v>24</v>
      </c>
      <c r="C9" s="2">
        <v>50</v>
      </c>
      <c r="D9" s="2">
        <v>100</v>
      </c>
      <c r="E9" s="2">
        <v>50</v>
      </c>
      <c r="F9" s="2">
        <v>50</v>
      </c>
      <c r="G9" s="2">
        <v>100</v>
      </c>
      <c r="H9" s="2">
        <v>50</v>
      </c>
      <c r="I9" s="2">
        <v>50</v>
      </c>
      <c r="J9" s="2"/>
      <c r="K9" s="2">
        <v>300</v>
      </c>
      <c r="L9" s="2">
        <v>916</v>
      </c>
      <c r="M9" s="2"/>
      <c r="N9" s="2"/>
      <c r="O9" s="2"/>
      <c r="P9" s="2"/>
      <c r="Q9" s="2"/>
      <c r="R9" s="2"/>
    </row>
    <row r="10" spans="1:18" x14ac:dyDescent="0.25">
      <c r="A10" s="6">
        <v>7</v>
      </c>
      <c r="B10" s="27" t="s">
        <v>25</v>
      </c>
      <c r="C10" s="22">
        <v>50</v>
      </c>
      <c r="D10" s="22">
        <v>100</v>
      </c>
      <c r="E10" s="22">
        <v>50</v>
      </c>
      <c r="F10" s="22">
        <v>50</v>
      </c>
      <c r="G10" s="22">
        <v>100</v>
      </c>
      <c r="H10" s="22">
        <v>50</v>
      </c>
      <c r="I10" s="22">
        <v>50</v>
      </c>
      <c r="J10" s="22">
        <v>300</v>
      </c>
      <c r="K10" s="22"/>
      <c r="L10" s="22"/>
      <c r="M10" s="2"/>
      <c r="N10" s="2"/>
      <c r="O10" s="2"/>
      <c r="P10" s="2"/>
      <c r="Q10" s="2"/>
      <c r="R10" s="2"/>
    </row>
    <row r="11" spans="1:18" x14ac:dyDescent="0.25">
      <c r="A11" s="6">
        <v>8</v>
      </c>
      <c r="B11" s="48" t="s">
        <v>78</v>
      </c>
      <c r="C11" s="2">
        <v>50</v>
      </c>
      <c r="D11" s="2">
        <v>100</v>
      </c>
      <c r="E11" s="2">
        <v>50</v>
      </c>
      <c r="F11" s="2">
        <v>50</v>
      </c>
      <c r="G11" s="2">
        <v>100</v>
      </c>
      <c r="H11" s="2">
        <v>50</v>
      </c>
      <c r="I11" s="2">
        <v>50</v>
      </c>
      <c r="J11" s="2">
        <v>300</v>
      </c>
      <c r="K11" s="2">
        <v>300</v>
      </c>
      <c r="L11" s="2">
        <v>434</v>
      </c>
      <c r="M11" s="2"/>
      <c r="N11" s="2"/>
      <c r="O11" s="2"/>
      <c r="P11" s="2"/>
      <c r="Q11" s="2"/>
      <c r="R11" s="2"/>
    </row>
    <row r="12" spans="1:18" x14ac:dyDescent="0.25">
      <c r="A12" s="6">
        <v>9</v>
      </c>
      <c r="B12" s="48" t="s">
        <v>80</v>
      </c>
      <c r="C12" s="2">
        <v>50</v>
      </c>
      <c r="D12" s="2">
        <v>100</v>
      </c>
      <c r="E12" s="2">
        <v>50</v>
      </c>
      <c r="F12" s="2">
        <v>50</v>
      </c>
      <c r="G12" s="2">
        <v>100</v>
      </c>
      <c r="H12" s="2">
        <v>50</v>
      </c>
      <c r="I12" s="2">
        <v>50</v>
      </c>
      <c r="J12" s="2">
        <v>300</v>
      </c>
      <c r="K12" s="2">
        <v>300</v>
      </c>
      <c r="L12" s="2">
        <v>749</v>
      </c>
      <c r="M12" s="2"/>
      <c r="N12" s="2"/>
      <c r="O12" s="2"/>
      <c r="P12" s="2"/>
      <c r="Q12" s="2"/>
      <c r="R12" s="2"/>
    </row>
    <row r="13" spans="1:18" x14ac:dyDescent="0.25">
      <c r="A13" s="6">
        <v>10</v>
      </c>
      <c r="B13" s="7" t="s">
        <v>26</v>
      </c>
      <c r="C13" s="2">
        <v>50</v>
      </c>
      <c r="D13" s="2">
        <v>100</v>
      </c>
      <c r="E13" s="2">
        <v>50</v>
      </c>
      <c r="F13" s="2">
        <v>50</v>
      </c>
      <c r="G13" s="2">
        <v>100</v>
      </c>
      <c r="H13" s="2">
        <v>50</v>
      </c>
      <c r="I13" s="2">
        <v>50</v>
      </c>
      <c r="J13" s="2">
        <v>300</v>
      </c>
      <c r="K13" s="2">
        <v>300</v>
      </c>
      <c r="L13" s="2">
        <v>168</v>
      </c>
      <c r="M13" s="2"/>
      <c r="N13" s="2"/>
      <c r="O13" s="2"/>
      <c r="P13" s="2"/>
      <c r="Q13" s="2"/>
      <c r="R13" s="2"/>
    </row>
    <row r="14" spans="1:18" x14ac:dyDescent="0.25">
      <c r="A14" s="6">
        <v>11</v>
      </c>
      <c r="B14" s="7" t="s">
        <v>27</v>
      </c>
      <c r="C14" s="2">
        <v>50</v>
      </c>
      <c r="D14" s="2">
        <v>100</v>
      </c>
      <c r="E14" s="2">
        <v>50</v>
      </c>
      <c r="F14" s="2">
        <v>50</v>
      </c>
      <c r="G14" s="2">
        <v>100</v>
      </c>
      <c r="H14" s="2">
        <v>50</v>
      </c>
      <c r="I14" s="2">
        <v>50</v>
      </c>
      <c r="J14" s="2">
        <v>300</v>
      </c>
      <c r="K14" s="2">
        <v>300</v>
      </c>
      <c r="L14" s="2">
        <v>749</v>
      </c>
      <c r="M14" s="2"/>
      <c r="N14" s="2"/>
      <c r="O14" s="2"/>
      <c r="P14" s="2"/>
      <c r="Q14" s="2"/>
      <c r="R14" s="2"/>
    </row>
    <row r="15" spans="1:18" x14ac:dyDescent="0.25">
      <c r="A15" s="6">
        <v>12</v>
      </c>
      <c r="B15" s="7" t="s">
        <v>28</v>
      </c>
      <c r="C15" s="2">
        <v>50</v>
      </c>
      <c r="D15" s="2">
        <v>100</v>
      </c>
      <c r="E15" s="2">
        <v>50</v>
      </c>
      <c r="F15" s="2">
        <v>50</v>
      </c>
      <c r="G15" s="2">
        <v>100</v>
      </c>
      <c r="H15" s="2">
        <v>50</v>
      </c>
      <c r="I15" s="2">
        <v>50</v>
      </c>
      <c r="J15" s="2">
        <v>300</v>
      </c>
      <c r="K15" s="25">
        <v>300</v>
      </c>
      <c r="L15" s="25">
        <v>429</v>
      </c>
      <c r="M15" s="2"/>
      <c r="N15" s="2"/>
      <c r="O15" s="2"/>
      <c r="P15" s="2"/>
      <c r="Q15" s="2"/>
      <c r="R15" s="2"/>
    </row>
    <row r="16" spans="1:18" x14ac:dyDescent="0.25">
      <c r="A16" s="6">
        <v>13</v>
      </c>
      <c r="B16" s="7" t="s">
        <v>29</v>
      </c>
      <c r="C16" s="2">
        <v>50</v>
      </c>
      <c r="D16" s="2">
        <v>100</v>
      </c>
      <c r="E16" s="2">
        <v>50</v>
      </c>
      <c r="F16" s="2">
        <v>50</v>
      </c>
      <c r="G16" s="2">
        <v>100</v>
      </c>
      <c r="H16" s="2">
        <v>50</v>
      </c>
      <c r="I16" s="2">
        <v>50</v>
      </c>
      <c r="J16" s="2">
        <v>300</v>
      </c>
      <c r="K16" s="2">
        <v>300</v>
      </c>
      <c r="L16" s="21" t="s">
        <v>114</v>
      </c>
      <c r="M16" s="2"/>
      <c r="N16" s="2"/>
      <c r="O16" s="2"/>
      <c r="P16" s="2"/>
      <c r="Q16" s="2"/>
      <c r="R16" s="2"/>
    </row>
    <row r="17" spans="1:18" x14ac:dyDescent="0.25">
      <c r="A17" s="6">
        <v>14</v>
      </c>
      <c r="B17" s="27" t="s">
        <v>30</v>
      </c>
      <c r="C17" s="22">
        <v>50</v>
      </c>
      <c r="D17" s="22">
        <v>100</v>
      </c>
      <c r="E17" s="22">
        <v>50</v>
      </c>
      <c r="F17" s="22">
        <v>50</v>
      </c>
      <c r="G17" s="22">
        <v>100</v>
      </c>
      <c r="H17" s="22">
        <v>50</v>
      </c>
      <c r="I17" s="22">
        <v>50</v>
      </c>
      <c r="J17" s="22">
        <v>300</v>
      </c>
      <c r="K17" s="22"/>
      <c r="L17" s="22"/>
      <c r="M17" s="2"/>
      <c r="N17" s="2"/>
      <c r="O17" s="2"/>
      <c r="P17" s="2"/>
      <c r="Q17" s="2"/>
      <c r="R17" s="2"/>
    </row>
    <row r="18" spans="1:18" x14ac:dyDescent="0.25">
      <c r="A18" s="6">
        <v>15</v>
      </c>
      <c r="B18" s="7" t="s">
        <v>31</v>
      </c>
      <c r="C18" s="2">
        <v>50</v>
      </c>
      <c r="D18" s="2">
        <v>100</v>
      </c>
      <c r="E18" s="2">
        <v>50</v>
      </c>
      <c r="F18" s="2">
        <v>50</v>
      </c>
      <c r="G18" s="2">
        <v>100</v>
      </c>
      <c r="H18" s="2">
        <v>50</v>
      </c>
      <c r="I18" s="2">
        <v>50</v>
      </c>
      <c r="J18" s="2">
        <v>300</v>
      </c>
      <c r="K18" s="2">
        <v>300</v>
      </c>
      <c r="L18" s="2">
        <v>192</v>
      </c>
      <c r="M18" s="2"/>
      <c r="N18" s="2"/>
      <c r="O18" s="2"/>
      <c r="P18" s="2"/>
      <c r="Q18" s="2"/>
      <c r="R18" s="2"/>
    </row>
    <row r="19" spans="1:18" x14ac:dyDescent="0.25">
      <c r="A19" s="6">
        <v>16</v>
      </c>
      <c r="B19" s="7" t="s">
        <v>32</v>
      </c>
      <c r="C19" s="2">
        <v>50</v>
      </c>
      <c r="D19" s="2">
        <v>100</v>
      </c>
      <c r="E19" s="2">
        <v>50</v>
      </c>
      <c r="F19" s="2">
        <v>50</v>
      </c>
      <c r="G19" s="2">
        <v>100</v>
      </c>
      <c r="H19" s="2">
        <v>50</v>
      </c>
      <c r="I19" s="2">
        <v>50</v>
      </c>
      <c r="J19" s="2">
        <v>300</v>
      </c>
      <c r="K19" s="25">
        <v>300</v>
      </c>
      <c r="L19" s="25">
        <v>309</v>
      </c>
      <c r="M19" s="2"/>
      <c r="N19" s="2"/>
      <c r="O19" s="2"/>
      <c r="P19" s="2"/>
      <c r="Q19" s="2"/>
      <c r="R19" s="2"/>
    </row>
    <row r="20" spans="1:18" x14ac:dyDescent="0.25">
      <c r="A20" s="6">
        <v>17</v>
      </c>
      <c r="B20" s="7" t="s">
        <v>33</v>
      </c>
      <c r="C20" s="2">
        <v>50</v>
      </c>
      <c r="D20" s="2">
        <v>100</v>
      </c>
      <c r="E20" s="2">
        <v>50</v>
      </c>
      <c r="F20" s="2">
        <v>50</v>
      </c>
      <c r="G20" s="2">
        <v>100</v>
      </c>
      <c r="H20" s="2">
        <v>50</v>
      </c>
      <c r="I20" s="2">
        <v>50</v>
      </c>
      <c r="J20" s="2">
        <v>300</v>
      </c>
      <c r="K20" s="2">
        <v>300</v>
      </c>
      <c r="L20" s="2">
        <v>419</v>
      </c>
      <c r="M20" s="2"/>
      <c r="N20" s="2"/>
      <c r="O20" s="2"/>
      <c r="P20" s="2"/>
      <c r="Q20" s="2"/>
      <c r="R20" s="2"/>
    </row>
    <row r="21" spans="1:18" x14ac:dyDescent="0.25">
      <c r="A21" s="6">
        <v>18</v>
      </c>
      <c r="B21" s="8" t="s">
        <v>34</v>
      </c>
      <c r="C21" s="2">
        <v>50</v>
      </c>
      <c r="D21" s="2">
        <v>100</v>
      </c>
      <c r="E21" s="2">
        <v>50</v>
      </c>
      <c r="F21" s="2">
        <v>50</v>
      </c>
      <c r="G21" s="2">
        <v>100</v>
      </c>
      <c r="H21" s="2">
        <v>50</v>
      </c>
      <c r="I21" s="2">
        <v>50</v>
      </c>
      <c r="J21" s="2">
        <v>300</v>
      </c>
      <c r="K21" s="2">
        <v>300</v>
      </c>
      <c r="L21" s="2">
        <v>406</v>
      </c>
      <c r="M21" s="2"/>
      <c r="N21" s="2"/>
      <c r="O21" s="2"/>
      <c r="P21" s="2"/>
      <c r="Q21" s="2"/>
      <c r="R21" s="2"/>
    </row>
    <row r="22" spans="1:18" x14ac:dyDescent="0.25">
      <c r="A22" s="6">
        <v>19</v>
      </c>
      <c r="B22" s="8" t="s">
        <v>35</v>
      </c>
      <c r="C22" s="2">
        <v>50</v>
      </c>
      <c r="D22" s="2">
        <v>100</v>
      </c>
      <c r="E22" s="2">
        <v>50</v>
      </c>
      <c r="F22" s="2">
        <v>50</v>
      </c>
      <c r="G22" s="2">
        <v>100</v>
      </c>
      <c r="H22" s="2">
        <v>50</v>
      </c>
      <c r="I22" s="2">
        <v>50</v>
      </c>
      <c r="J22" s="2">
        <v>300</v>
      </c>
      <c r="K22" s="2">
        <v>300</v>
      </c>
      <c r="L22" s="2">
        <v>134</v>
      </c>
      <c r="M22" s="2"/>
      <c r="N22" s="2"/>
      <c r="O22" s="2"/>
      <c r="P22" s="2"/>
      <c r="Q22" s="2"/>
      <c r="R22" s="2"/>
    </row>
    <row r="23" spans="1:18" x14ac:dyDescent="0.25">
      <c r="A23" s="6">
        <v>20</v>
      </c>
      <c r="B23" s="8" t="s">
        <v>36</v>
      </c>
      <c r="C23" s="2">
        <v>50</v>
      </c>
      <c r="D23" s="2">
        <v>100</v>
      </c>
      <c r="E23" s="2">
        <v>50</v>
      </c>
      <c r="F23" s="2">
        <v>50</v>
      </c>
      <c r="G23" s="2">
        <v>100</v>
      </c>
      <c r="H23" s="2">
        <v>50</v>
      </c>
      <c r="I23" s="2">
        <v>50</v>
      </c>
      <c r="J23" s="2">
        <v>300</v>
      </c>
      <c r="K23" s="2">
        <v>300</v>
      </c>
      <c r="L23" s="2">
        <v>240</v>
      </c>
      <c r="M23" s="2"/>
      <c r="N23" s="2"/>
      <c r="O23" s="2"/>
      <c r="P23" s="2"/>
      <c r="Q23" s="2"/>
      <c r="R23" s="2"/>
    </row>
    <row r="24" spans="1:18" x14ac:dyDescent="0.25">
      <c r="A24" s="6">
        <v>21</v>
      </c>
      <c r="B24" s="7" t="s">
        <v>37</v>
      </c>
      <c r="C24" s="2">
        <v>50</v>
      </c>
      <c r="D24" s="2">
        <v>100</v>
      </c>
      <c r="E24" s="2">
        <v>50</v>
      </c>
      <c r="F24" s="2">
        <v>50</v>
      </c>
      <c r="G24" s="2">
        <v>100</v>
      </c>
      <c r="H24" s="2">
        <v>50</v>
      </c>
      <c r="I24" s="2">
        <v>50</v>
      </c>
      <c r="J24" s="2">
        <v>300</v>
      </c>
      <c r="K24" s="2">
        <v>300</v>
      </c>
      <c r="L24" s="2"/>
      <c r="M24" s="2"/>
      <c r="N24" s="2"/>
      <c r="O24" s="2"/>
      <c r="P24" s="2"/>
      <c r="Q24" s="2"/>
      <c r="R24" s="2"/>
    </row>
    <row r="25" spans="1:18" x14ac:dyDescent="0.25">
      <c r="A25" s="6">
        <v>22</v>
      </c>
      <c r="B25" s="7" t="s">
        <v>38</v>
      </c>
      <c r="C25" s="2">
        <v>50</v>
      </c>
      <c r="D25" s="2">
        <v>100</v>
      </c>
      <c r="E25" s="2">
        <v>50</v>
      </c>
      <c r="F25" s="2">
        <v>50</v>
      </c>
      <c r="G25" s="2">
        <v>100</v>
      </c>
      <c r="H25" s="2">
        <v>50</v>
      </c>
      <c r="I25" s="2">
        <v>50</v>
      </c>
      <c r="J25" s="2">
        <v>300</v>
      </c>
      <c r="K25" s="2">
        <v>300</v>
      </c>
      <c r="L25" s="2">
        <v>240</v>
      </c>
      <c r="M25" s="2"/>
      <c r="N25" s="2"/>
      <c r="O25" s="2"/>
      <c r="P25" s="2"/>
      <c r="Q25" s="2"/>
      <c r="R25" s="2"/>
    </row>
    <row r="26" spans="1:18" x14ac:dyDescent="0.25">
      <c r="A26" s="6"/>
      <c r="B26" s="7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22">
        <v>23</v>
      </c>
      <c r="B27" s="27" t="s">
        <v>39</v>
      </c>
      <c r="C27" s="22">
        <v>50</v>
      </c>
      <c r="D27" s="22">
        <v>100</v>
      </c>
      <c r="E27" s="22">
        <v>50</v>
      </c>
      <c r="F27" s="22">
        <v>50</v>
      </c>
      <c r="G27" s="22">
        <v>100</v>
      </c>
      <c r="H27" s="22">
        <v>50</v>
      </c>
      <c r="I27" s="22">
        <v>50</v>
      </c>
      <c r="J27" s="22">
        <v>300</v>
      </c>
      <c r="K27" s="22"/>
      <c r="L27" s="22"/>
      <c r="M27" s="2"/>
      <c r="N27" s="2"/>
      <c r="O27" s="2"/>
      <c r="P27" s="2"/>
      <c r="Q27" s="2"/>
      <c r="R27" s="2"/>
    </row>
    <row r="28" spans="1:18" x14ac:dyDescent="0.25">
      <c r="A28" s="6">
        <v>24</v>
      </c>
      <c r="B28" s="7" t="s">
        <v>40</v>
      </c>
      <c r="C28" s="2">
        <v>50</v>
      </c>
      <c r="D28" s="2">
        <v>100</v>
      </c>
      <c r="E28" s="2">
        <v>50</v>
      </c>
      <c r="F28" s="2">
        <v>50</v>
      </c>
      <c r="G28" s="2">
        <v>100</v>
      </c>
      <c r="H28" s="2">
        <v>50</v>
      </c>
      <c r="I28" s="2">
        <v>50</v>
      </c>
      <c r="J28" s="2">
        <v>300</v>
      </c>
      <c r="K28" s="2">
        <v>300</v>
      </c>
      <c r="L28" s="2">
        <v>511</v>
      </c>
      <c r="M28" s="2"/>
      <c r="N28" s="2"/>
      <c r="O28" s="2"/>
      <c r="P28" s="2"/>
      <c r="Q28" s="2"/>
      <c r="R28" s="2"/>
    </row>
    <row r="29" spans="1:18" x14ac:dyDescent="0.25">
      <c r="A29" s="22">
        <v>25</v>
      </c>
      <c r="B29" s="48" t="s">
        <v>76</v>
      </c>
      <c r="C29" s="2">
        <v>50</v>
      </c>
      <c r="D29" s="2">
        <v>100</v>
      </c>
      <c r="E29" s="2">
        <v>50</v>
      </c>
      <c r="F29" s="2">
        <v>50</v>
      </c>
      <c r="G29" s="2">
        <v>100</v>
      </c>
      <c r="H29" s="2">
        <v>50</v>
      </c>
      <c r="I29" s="2">
        <v>50</v>
      </c>
      <c r="J29" s="2">
        <v>300</v>
      </c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6">
        <v>26</v>
      </c>
      <c r="B30" s="7" t="s">
        <v>41</v>
      </c>
      <c r="C30" s="2">
        <v>50</v>
      </c>
      <c r="D30" s="2">
        <v>100</v>
      </c>
      <c r="E30" s="2">
        <v>50</v>
      </c>
      <c r="F30" s="2">
        <v>50</v>
      </c>
      <c r="G30" s="2">
        <v>100</v>
      </c>
      <c r="H30" s="2">
        <v>50</v>
      </c>
      <c r="I30" s="2">
        <v>50</v>
      </c>
      <c r="J30" s="2">
        <v>300</v>
      </c>
      <c r="K30" s="2">
        <v>300</v>
      </c>
      <c r="L30" s="21" t="s">
        <v>115</v>
      </c>
      <c r="M30" s="2"/>
      <c r="N30" s="2"/>
      <c r="O30" s="2"/>
      <c r="P30" s="2"/>
      <c r="Q30" s="2"/>
      <c r="R30" s="2"/>
    </row>
    <row r="31" spans="1:18" x14ac:dyDescent="0.25">
      <c r="A31" s="22">
        <v>27</v>
      </c>
      <c r="B31" s="7" t="s">
        <v>42</v>
      </c>
      <c r="C31" s="2">
        <v>50</v>
      </c>
      <c r="D31" s="2">
        <v>100</v>
      </c>
      <c r="E31" s="2">
        <v>50</v>
      </c>
      <c r="F31" s="2">
        <v>50</v>
      </c>
      <c r="G31" s="2">
        <v>100</v>
      </c>
      <c r="H31" s="2">
        <v>50</v>
      </c>
      <c r="I31" s="2">
        <v>50</v>
      </c>
      <c r="J31" s="2">
        <v>300</v>
      </c>
      <c r="K31" s="2">
        <v>300</v>
      </c>
      <c r="L31" s="2">
        <v>472</v>
      </c>
      <c r="M31" s="2"/>
      <c r="N31" s="2"/>
      <c r="O31" s="2"/>
      <c r="P31" s="2"/>
      <c r="Q31" s="2"/>
      <c r="R31" s="2"/>
    </row>
    <row r="32" spans="1:18" x14ac:dyDescent="0.25">
      <c r="A32" s="6">
        <v>28</v>
      </c>
      <c r="B32" s="7" t="s">
        <v>43</v>
      </c>
      <c r="C32" s="2">
        <v>50</v>
      </c>
      <c r="D32" s="2">
        <v>100</v>
      </c>
      <c r="E32" s="2">
        <v>50</v>
      </c>
      <c r="F32" s="2">
        <v>50</v>
      </c>
      <c r="G32" s="2">
        <v>100</v>
      </c>
      <c r="H32" s="2">
        <v>50</v>
      </c>
      <c r="I32" s="2">
        <v>50</v>
      </c>
      <c r="J32" s="2">
        <v>300</v>
      </c>
      <c r="K32" s="2">
        <v>300</v>
      </c>
      <c r="L32" s="2">
        <v>902</v>
      </c>
      <c r="M32" s="2"/>
      <c r="N32" s="2"/>
      <c r="O32" s="2"/>
      <c r="P32" s="2"/>
      <c r="Q32" s="2"/>
      <c r="R32" s="2"/>
    </row>
    <row r="33" spans="1:18" x14ac:dyDescent="0.25">
      <c r="A33" s="22">
        <v>29</v>
      </c>
      <c r="B33" s="48" t="s">
        <v>75</v>
      </c>
      <c r="C33" s="2">
        <v>50</v>
      </c>
      <c r="D33" s="2">
        <v>100</v>
      </c>
      <c r="E33" s="2">
        <v>50</v>
      </c>
      <c r="F33" s="2">
        <v>50</v>
      </c>
      <c r="G33" s="2">
        <v>100</v>
      </c>
      <c r="H33" s="2">
        <v>50</v>
      </c>
      <c r="I33" s="2">
        <v>50</v>
      </c>
      <c r="J33" s="2">
        <v>300</v>
      </c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6">
        <v>30</v>
      </c>
      <c r="B34" s="7" t="s">
        <v>44</v>
      </c>
      <c r="C34" s="2">
        <v>50</v>
      </c>
      <c r="D34" s="2">
        <v>100</v>
      </c>
      <c r="E34" s="2">
        <v>50</v>
      </c>
      <c r="F34" s="2">
        <v>50</v>
      </c>
      <c r="G34" s="2">
        <v>100</v>
      </c>
      <c r="H34" s="2">
        <v>50</v>
      </c>
      <c r="I34" s="2">
        <v>50</v>
      </c>
      <c r="J34" s="2">
        <v>300</v>
      </c>
      <c r="K34" s="2">
        <v>300</v>
      </c>
      <c r="L34" s="2"/>
      <c r="M34" s="2"/>
      <c r="N34" s="2"/>
      <c r="O34" s="2"/>
      <c r="P34" s="2"/>
      <c r="Q34" s="2"/>
      <c r="R34" s="2"/>
    </row>
    <row r="35" spans="1:18" x14ac:dyDescent="0.25">
      <c r="A35" s="22">
        <v>31</v>
      </c>
      <c r="B35" s="7" t="s">
        <v>45</v>
      </c>
      <c r="C35" s="2">
        <v>50</v>
      </c>
      <c r="D35" s="2">
        <v>100</v>
      </c>
      <c r="E35" s="2">
        <v>50</v>
      </c>
      <c r="F35" s="2">
        <v>50</v>
      </c>
      <c r="G35" s="2">
        <v>100</v>
      </c>
      <c r="H35" s="2">
        <v>50</v>
      </c>
      <c r="I35" s="2">
        <v>50</v>
      </c>
      <c r="J35" s="2">
        <v>300</v>
      </c>
      <c r="K35" s="2">
        <v>300</v>
      </c>
      <c r="L35" s="2">
        <v>679</v>
      </c>
      <c r="M35" s="2"/>
      <c r="N35" s="2"/>
      <c r="O35" s="2"/>
      <c r="P35" s="2"/>
      <c r="Q35" s="2"/>
      <c r="R35" s="2"/>
    </row>
    <row r="36" spans="1:18" x14ac:dyDescent="0.25">
      <c r="A36" s="6">
        <v>32</v>
      </c>
      <c r="B36" s="48" t="s">
        <v>74</v>
      </c>
      <c r="C36" s="2">
        <v>50</v>
      </c>
      <c r="D36" s="2">
        <v>100</v>
      </c>
      <c r="E36" s="2">
        <v>50</v>
      </c>
      <c r="F36" s="2">
        <v>50</v>
      </c>
      <c r="G36" s="2">
        <v>100</v>
      </c>
      <c r="H36" s="2">
        <v>50</v>
      </c>
      <c r="I36" s="2">
        <v>50</v>
      </c>
      <c r="J36" s="2">
        <v>300</v>
      </c>
      <c r="K36" s="2">
        <v>300</v>
      </c>
      <c r="L36" s="2">
        <v>393</v>
      </c>
      <c r="M36" s="2"/>
      <c r="N36" s="2"/>
      <c r="O36" s="2"/>
      <c r="P36" s="2"/>
      <c r="Q36" s="2"/>
      <c r="R36" s="2"/>
    </row>
    <row r="37" spans="1:18" x14ac:dyDescent="0.25">
      <c r="A37" s="6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2">
        <v>33</v>
      </c>
      <c r="B38" s="27" t="s">
        <v>46</v>
      </c>
      <c r="C38" s="2">
        <v>50</v>
      </c>
      <c r="D38" s="2">
        <v>100</v>
      </c>
      <c r="E38" s="2">
        <v>50</v>
      </c>
      <c r="F38" s="2">
        <v>50</v>
      </c>
      <c r="G38" s="2">
        <v>100</v>
      </c>
      <c r="H38" s="2">
        <v>50</v>
      </c>
      <c r="I38" s="2">
        <v>50</v>
      </c>
      <c r="J38" s="2">
        <v>300</v>
      </c>
      <c r="K38" s="22"/>
      <c r="L38" s="22"/>
      <c r="M38" s="2"/>
      <c r="N38" s="2"/>
      <c r="O38" s="2"/>
      <c r="P38" s="2"/>
      <c r="Q38" s="2"/>
      <c r="R38" s="2"/>
    </row>
    <row r="39" spans="1:18" x14ac:dyDescent="0.25">
      <c r="A39" s="6">
        <v>34</v>
      </c>
      <c r="B39" s="7" t="s">
        <v>47</v>
      </c>
      <c r="C39" s="2">
        <v>50</v>
      </c>
      <c r="D39" s="2">
        <v>100</v>
      </c>
      <c r="E39" s="2">
        <v>50</v>
      </c>
      <c r="F39" s="2">
        <v>50</v>
      </c>
      <c r="G39" s="2">
        <v>100</v>
      </c>
      <c r="H39" s="2">
        <v>50</v>
      </c>
      <c r="I39" s="2">
        <v>50</v>
      </c>
      <c r="J39" s="2">
        <v>300</v>
      </c>
      <c r="K39" s="2">
        <v>300</v>
      </c>
      <c r="L39" s="2">
        <v>809</v>
      </c>
      <c r="M39" s="2"/>
      <c r="N39" s="2"/>
      <c r="O39" s="2"/>
      <c r="P39" s="2"/>
      <c r="Q39" s="2"/>
      <c r="R39" s="2"/>
    </row>
    <row r="40" spans="1:18" x14ac:dyDescent="0.25">
      <c r="A40" s="22">
        <v>35</v>
      </c>
      <c r="B40" s="7" t="s">
        <v>48</v>
      </c>
      <c r="C40" s="2">
        <v>50</v>
      </c>
      <c r="D40" s="2">
        <v>100</v>
      </c>
      <c r="E40" s="2">
        <v>50</v>
      </c>
      <c r="F40" s="2">
        <v>50</v>
      </c>
      <c r="G40" s="2">
        <v>100</v>
      </c>
      <c r="H40" s="2">
        <v>50</v>
      </c>
      <c r="I40" s="2">
        <v>50</v>
      </c>
      <c r="J40" s="2">
        <v>300</v>
      </c>
      <c r="K40" s="2">
        <v>300</v>
      </c>
      <c r="L40" s="21" t="s">
        <v>110</v>
      </c>
      <c r="M40" s="2"/>
      <c r="N40" s="2"/>
      <c r="O40" s="2"/>
      <c r="P40" s="2"/>
      <c r="Q40" s="2"/>
      <c r="R40" s="2"/>
    </row>
    <row r="41" spans="1:18" x14ac:dyDescent="0.25">
      <c r="A41" s="6">
        <v>36</v>
      </c>
      <c r="B41" s="7" t="s">
        <v>49</v>
      </c>
      <c r="C41" s="2">
        <v>50</v>
      </c>
      <c r="D41" s="2">
        <v>100</v>
      </c>
      <c r="E41" s="2">
        <v>50</v>
      </c>
      <c r="F41" s="2">
        <v>50</v>
      </c>
      <c r="G41" s="2">
        <v>100</v>
      </c>
      <c r="H41" s="2">
        <v>50</v>
      </c>
      <c r="I41" s="2">
        <v>50</v>
      </c>
      <c r="J41" s="2">
        <v>300</v>
      </c>
      <c r="K41" s="2">
        <v>300</v>
      </c>
      <c r="L41" s="21" t="s">
        <v>110</v>
      </c>
      <c r="M41" s="2"/>
      <c r="N41" s="2"/>
      <c r="O41" s="2"/>
      <c r="P41" s="2"/>
      <c r="Q41" s="2"/>
      <c r="R41" s="2"/>
    </row>
    <row r="42" spans="1:18" x14ac:dyDescent="0.25">
      <c r="A42" s="22">
        <v>37</v>
      </c>
      <c r="B42" s="7" t="s">
        <v>50</v>
      </c>
      <c r="C42" s="2">
        <v>50</v>
      </c>
      <c r="D42" s="2">
        <v>100</v>
      </c>
      <c r="E42" s="2">
        <v>50</v>
      </c>
      <c r="F42" s="2">
        <v>50</v>
      </c>
      <c r="G42" s="2">
        <v>100</v>
      </c>
      <c r="H42" s="2">
        <v>50</v>
      </c>
      <c r="I42" s="2">
        <v>50</v>
      </c>
      <c r="J42" s="2">
        <v>300</v>
      </c>
      <c r="K42" s="25">
        <v>300</v>
      </c>
      <c r="L42" s="26" t="s">
        <v>118</v>
      </c>
      <c r="M42" s="2"/>
      <c r="N42" s="2"/>
      <c r="O42" s="2"/>
      <c r="P42" s="2"/>
      <c r="Q42" s="2"/>
      <c r="R42" s="2"/>
    </row>
    <row r="43" spans="1:18" x14ac:dyDescent="0.25">
      <c r="A43" s="6">
        <v>38</v>
      </c>
      <c r="B43" s="7" t="s">
        <v>51</v>
      </c>
      <c r="C43" s="2">
        <v>50</v>
      </c>
      <c r="D43" s="2">
        <v>100</v>
      </c>
      <c r="E43" s="2">
        <v>50</v>
      </c>
      <c r="F43" s="2">
        <v>50</v>
      </c>
      <c r="G43" s="2">
        <v>100</v>
      </c>
      <c r="H43" s="2">
        <v>50</v>
      </c>
      <c r="I43" s="2">
        <v>50</v>
      </c>
      <c r="J43" s="2">
        <v>300</v>
      </c>
      <c r="K43" s="2">
        <v>300</v>
      </c>
      <c r="L43" s="2" t="s">
        <v>111</v>
      </c>
      <c r="M43" s="2"/>
      <c r="N43" s="2"/>
      <c r="O43" s="2"/>
      <c r="P43" s="2"/>
      <c r="Q43" s="2"/>
      <c r="R43" s="2"/>
    </row>
    <row r="44" spans="1:18" x14ac:dyDescent="0.25">
      <c r="A44" s="22">
        <v>39</v>
      </c>
      <c r="B44" s="7" t="s">
        <v>52</v>
      </c>
      <c r="C44" s="2">
        <v>50</v>
      </c>
      <c r="D44" s="2">
        <v>100</v>
      </c>
      <c r="E44" s="2">
        <v>50</v>
      </c>
      <c r="F44" s="2">
        <v>50</v>
      </c>
      <c r="G44" s="2">
        <v>100</v>
      </c>
      <c r="H44" s="2">
        <v>50</v>
      </c>
      <c r="I44" s="2">
        <v>50</v>
      </c>
      <c r="J44" s="2">
        <v>300</v>
      </c>
      <c r="K44" s="2">
        <v>300</v>
      </c>
      <c r="L44" s="2">
        <v>747</v>
      </c>
      <c r="M44" s="2"/>
      <c r="N44" s="2"/>
      <c r="O44" s="2"/>
      <c r="P44" s="2"/>
      <c r="Q44" s="2"/>
      <c r="R44" s="2"/>
    </row>
    <row r="45" spans="1:18" x14ac:dyDescent="0.25">
      <c r="A45" s="6">
        <v>40</v>
      </c>
      <c r="B45" s="27" t="s">
        <v>53</v>
      </c>
      <c r="C45" s="22">
        <v>50</v>
      </c>
      <c r="D45" s="22">
        <v>100</v>
      </c>
      <c r="E45" s="22">
        <v>50</v>
      </c>
      <c r="F45" s="22">
        <v>50</v>
      </c>
      <c r="G45" s="22">
        <v>100</v>
      </c>
      <c r="H45" s="22">
        <v>50</v>
      </c>
      <c r="I45" s="22">
        <v>50</v>
      </c>
      <c r="J45" s="22">
        <v>300</v>
      </c>
      <c r="K45" s="22"/>
      <c r="L45" s="22"/>
      <c r="M45" s="2"/>
      <c r="N45" s="2"/>
      <c r="O45" s="2"/>
      <c r="P45" s="2"/>
      <c r="Q45" s="2"/>
      <c r="R45" s="2"/>
    </row>
    <row r="46" spans="1:18" x14ac:dyDescent="0.25">
      <c r="A46" s="22">
        <v>41</v>
      </c>
      <c r="B46" s="7" t="s">
        <v>54</v>
      </c>
      <c r="C46" s="2">
        <v>50</v>
      </c>
      <c r="D46" s="2">
        <v>100</v>
      </c>
      <c r="E46" s="2">
        <v>50</v>
      </c>
      <c r="F46" s="2">
        <v>50</v>
      </c>
      <c r="G46" s="2">
        <v>100</v>
      </c>
      <c r="H46" s="2">
        <v>50</v>
      </c>
      <c r="I46" s="2">
        <v>50</v>
      </c>
      <c r="J46" s="2">
        <v>300</v>
      </c>
      <c r="K46" s="2">
        <v>300</v>
      </c>
      <c r="L46" s="21" t="s">
        <v>116</v>
      </c>
      <c r="M46" s="2"/>
      <c r="N46" s="2"/>
      <c r="O46" s="2"/>
      <c r="P46" s="2"/>
      <c r="Q46" s="2"/>
      <c r="R46" s="2"/>
    </row>
    <row r="47" spans="1:18" x14ac:dyDescent="0.25">
      <c r="A47" s="6">
        <v>42</v>
      </c>
      <c r="B47" s="7" t="s">
        <v>55</v>
      </c>
      <c r="C47" s="2">
        <v>50</v>
      </c>
      <c r="D47" s="2">
        <v>100</v>
      </c>
      <c r="E47" s="2">
        <v>50</v>
      </c>
      <c r="F47" s="2">
        <v>50</v>
      </c>
      <c r="G47" s="2">
        <v>100</v>
      </c>
      <c r="H47" s="2">
        <v>50</v>
      </c>
      <c r="I47" s="2">
        <v>50</v>
      </c>
      <c r="J47" s="2">
        <v>300</v>
      </c>
      <c r="K47" s="2">
        <v>300</v>
      </c>
      <c r="L47" s="2">
        <v>211</v>
      </c>
      <c r="M47" s="2"/>
      <c r="N47" s="2"/>
      <c r="O47" s="2"/>
      <c r="P47" s="2"/>
      <c r="Q47" s="2"/>
      <c r="R47" s="2"/>
    </row>
    <row r="48" spans="1:18" x14ac:dyDescent="0.25">
      <c r="A48" s="22">
        <v>43</v>
      </c>
      <c r="B48" s="7" t="s">
        <v>56</v>
      </c>
      <c r="C48" s="2">
        <v>50</v>
      </c>
      <c r="D48" s="2">
        <v>100</v>
      </c>
      <c r="E48" s="2">
        <v>50</v>
      </c>
      <c r="F48" s="2">
        <v>50</v>
      </c>
      <c r="G48" s="2">
        <v>100</v>
      </c>
      <c r="H48" s="2">
        <v>50</v>
      </c>
      <c r="I48" s="2">
        <v>50</v>
      </c>
      <c r="J48" s="2">
        <v>300</v>
      </c>
      <c r="K48" s="25">
        <v>300</v>
      </c>
      <c r="L48" s="25">
        <v>128</v>
      </c>
      <c r="M48" s="2"/>
      <c r="N48" s="2"/>
      <c r="O48" s="2"/>
      <c r="P48" s="2"/>
      <c r="Q48" s="2"/>
      <c r="R48" s="2"/>
    </row>
    <row r="49" spans="1:18" x14ac:dyDescent="0.25">
      <c r="A49" s="6">
        <v>44</v>
      </c>
      <c r="B49" s="7" t="s">
        <v>57</v>
      </c>
      <c r="C49" s="2">
        <v>50</v>
      </c>
      <c r="D49" s="2">
        <v>100</v>
      </c>
      <c r="E49" s="2">
        <v>50</v>
      </c>
      <c r="F49" s="2">
        <v>50</v>
      </c>
      <c r="G49" s="2">
        <v>100</v>
      </c>
      <c r="H49" s="2">
        <v>50</v>
      </c>
      <c r="I49" s="2">
        <v>50</v>
      </c>
      <c r="J49" s="2">
        <v>300</v>
      </c>
      <c r="K49" s="2">
        <v>300</v>
      </c>
      <c r="L49" s="2">
        <v>573</v>
      </c>
      <c r="M49" s="2"/>
      <c r="N49" s="2"/>
      <c r="O49" s="2"/>
      <c r="P49" s="2"/>
      <c r="Q49" s="2"/>
      <c r="R49" s="2"/>
    </row>
    <row r="50" spans="1:18" x14ac:dyDescent="0.25">
      <c r="A50" s="22">
        <v>45</v>
      </c>
      <c r="B50" s="7" t="s">
        <v>58</v>
      </c>
      <c r="C50" s="2">
        <v>50</v>
      </c>
      <c r="D50" s="2">
        <v>100</v>
      </c>
      <c r="E50" s="2">
        <v>50</v>
      </c>
      <c r="F50" s="2">
        <v>50</v>
      </c>
      <c r="G50" s="2">
        <v>100</v>
      </c>
      <c r="H50" s="2">
        <v>50</v>
      </c>
      <c r="I50" s="2">
        <v>50</v>
      </c>
      <c r="J50" s="2">
        <v>300</v>
      </c>
      <c r="K50" s="2">
        <v>300</v>
      </c>
      <c r="L50" s="2">
        <v>132</v>
      </c>
      <c r="M50" s="2"/>
      <c r="N50" s="2"/>
      <c r="O50" s="2"/>
      <c r="P50" s="2"/>
      <c r="Q50" s="2"/>
      <c r="R50" s="2"/>
    </row>
    <row r="51" spans="1:18" x14ac:dyDescent="0.25">
      <c r="A51" s="6">
        <v>46</v>
      </c>
      <c r="B51" s="27" t="s">
        <v>59</v>
      </c>
      <c r="C51" s="2">
        <v>50</v>
      </c>
      <c r="D51" s="2">
        <v>100</v>
      </c>
      <c r="E51" s="2">
        <v>50</v>
      </c>
      <c r="F51" s="2">
        <v>50</v>
      </c>
      <c r="G51" s="2">
        <v>100</v>
      </c>
      <c r="H51" s="2">
        <v>50</v>
      </c>
      <c r="I51" s="2">
        <v>50</v>
      </c>
      <c r="J51" s="2">
        <v>300</v>
      </c>
      <c r="K51" s="22"/>
      <c r="L51" s="22"/>
      <c r="M51" s="2"/>
      <c r="N51" s="2"/>
      <c r="O51" s="2"/>
      <c r="P51" s="2"/>
      <c r="Q51" s="2"/>
      <c r="R51" s="2"/>
    </row>
    <row r="52" spans="1:18" x14ac:dyDescent="0.25">
      <c r="A52" s="22">
        <v>47</v>
      </c>
      <c r="B52" s="7" t="s">
        <v>60</v>
      </c>
      <c r="C52" s="2">
        <v>50</v>
      </c>
      <c r="D52" s="2">
        <v>100</v>
      </c>
      <c r="E52" s="2">
        <v>50</v>
      </c>
      <c r="F52" s="2">
        <v>50</v>
      </c>
      <c r="G52" s="2">
        <v>100</v>
      </c>
      <c r="H52" s="2">
        <v>50</v>
      </c>
      <c r="I52" s="2">
        <v>50</v>
      </c>
      <c r="J52" s="2">
        <v>300</v>
      </c>
      <c r="K52" s="2">
        <v>300</v>
      </c>
      <c r="L52" s="2">
        <v>475</v>
      </c>
      <c r="M52" s="2"/>
      <c r="N52" s="2"/>
      <c r="O52" s="2"/>
      <c r="P52" s="2"/>
      <c r="Q52" s="2"/>
      <c r="R52" s="2"/>
    </row>
    <row r="53" spans="1:18" x14ac:dyDescent="0.25">
      <c r="A53" s="6">
        <v>48</v>
      </c>
      <c r="B53" s="7" t="s">
        <v>61</v>
      </c>
      <c r="C53" s="2">
        <v>50</v>
      </c>
      <c r="D53" s="2">
        <v>100</v>
      </c>
      <c r="E53" s="2">
        <v>50</v>
      </c>
      <c r="F53" s="2">
        <v>50</v>
      </c>
      <c r="G53" s="2">
        <v>100</v>
      </c>
      <c r="H53" s="2">
        <v>50</v>
      </c>
      <c r="I53" s="2">
        <v>50</v>
      </c>
      <c r="J53" s="2">
        <v>300</v>
      </c>
      <c r="K53" s="2">
        <v>300</v>
      </c>
      <c r="L53" s="21" t="s">
        <v>114</v>
      </c>
      <c r="M53" s="2"/>
      <c r="N53" s="2"/>
      <c r="O53" s="2"/>
      <c r="P53" s="2"/>
      <c r="Q53" s="2"/>
      <c r="R53" s="2"/>
    </row>
    <row r="54" spans="1:18" x14ac:dyDescent="0.25">
      <c r="A54" s="22">
        <v>49</v>
      </c>
      <c r="B54" s="7" t="s">
        <v>62</v>
      </c>
      <c r="C54" s="2">
        <v>50</v>
      </c>
      <c r="D54" s="2">
        <v>100</v>
      </c>
      <c r="E54" s="2">
        <v>50</v>
      </c>
      <c r="F54" s="2">
        <v>50</v>
      </c>
      <c r="G54" s="2">
        <v>100</v>
      </c>
      <c r="H54" s="2">
        <v>50</v>
      </c>
      <c r="I54" s="2">
        <v>50</v>
      </c>
      <c r="J54" s="2">
        <v>300</v>
      </c>
      <c r="K54" s="2">
        <v>300</v>
      </c>
      <c r="L54" s="2" t="s">
        <v>113</v>
      </c>
      <c r="M54" s="2"/>
      <c r="N54" s="2"/>
      <c r="O54" s="2"/>
      <c r="P54" s="2"/>
      <c r="Q54" s="2"/>
      <c r="R54" s="2"/>
    </row>
    <row r="55" spans="1:18" x14ac:dyDescent="0.25">
      <c r="A55" s="6">
        <v>50</v>
      </c>
      <c r="B55" s="7" t="s">
        <v>63</v>
      </c>
      <c r="C55" s="2">
        <v>50</v>
      </c>
      <c r="D55" s="2">
        <v>100</v>
      </c>
      <c r="E55" s="2">
        <v>50</v>
      </c>
      <c r="F55" s="2">
        <v>50</v>
      </c>
      <c r="G55" s="2">
        <v>100</v>
      </c>
      <c r="H55" s="2">
        <v>50</v>
      </c>
      <c r="I55" s="2">
        <v>50</v>
      </c>
      <c r="J55" s="2">
        <v>300</v>
      </c>
      <c r="K55" s="2">
        <v>300</v>
      </c>
      <c r="L55" s="2">
        <v>757</v>
      </c>
      <c r="M55" s="2"/>
      <c r="N55" s="2"/>
      <c r="O55" s="2"/>
      <c r="P55" s="2"/>
      <c r="Q55" s="2"/>
      <c r="R55" s="2"/>
    </row>
    <row r="56" spans="1:18" x14ac:dyDescent="0.25">
      <c r="A56" s="22">
        <v>51</v>
      </c>
      <c r="B56" s="7" t="s">
        <v>64</v>
      </c>
      <c r="C56" s="2">
        <v>50</v>
      </c>
      <c r="D56" s="2">
        <v>100</v>
      </c>
      <c r="E56" s="2">
        <v>50</v>
      </c>
      <c r="F56" s="2">
        <v>50</v>
      </c>
      <c r="G56" s="2">
        <v>100</v>
      </c>
      <c r="H56" s="2">
        <v>50</v>
      </c>
      <c r="I56" s="2">
        <v>50</v>
      </c>
      <c r="J56" s="2">
        <v>300</v>
      </c>
      <c r="K56" s="2">
        <v>300</v>
      </c>
      <c r="L56" s="2" t="s">
        <v>113</v>
      </c>
      <c r="M56" s="2"/>
      <c r="N56" s="2"/>
      <c r="O56" s="2"/>
      <c r="P56" s="2"/>
      <c r="Q56" s="2"/>
      <c r="R56" s="2"/>
    </row>
    <row r="57" spans="1:18" x14ac:dyDescent="0.25">
      <c r="A57" s="6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2">
        <v>52</v>
      </c>
      <c r="B58" s="27" t="s">
        <v>65</v>
      </c>
      <c r="C58" s="2">
        <v>50</v>
      </c>
      <c r="D58" s="2">
        <v>100</v>
      </c>
      <c r="E58" s="2">
        <v>50</v>
      </c>
      <c r="F58" s="2">
        <v>50</v>
      </c>
      <c r="G58" s="2">
        <v>100</v>
      </c>
      <c r="H58" s="2">
        <v>50</v>
      </c>
      <c r="I58" s="2">
        <v>50</v>
      </c>
      <c r="J58" s="2">
        <v>300</v>
      </c>
      <c r="K58" s="22"/>
      <c r="L58" s="22"/>
      <c r="M58" s="2"/>
      <c r="N58" s="2"/>
      <c r="O58" s="2"/>
      <c r="P58" s="2"/>
      <c r="Q58" s="2"/>
      <c r="R58" s="2"/>
    </row>
    <row r="59" spans="1:18" x14ac:dyDescent="0.25">
      <c r="A59" s="6">
        <v>53</v>
      </c>
      <c r="B59" s="7" t="s">
        <v>66</v>
      </c>
      <c r="C59" s="2">
        <v>50</v>
      </c>
      <c r="D59" s="2">
        <v>100</v>
      </c>
      <c r="E59" s="2">
        <v>50</v>
      </c>
      <c r="F59" s="2">
        <v>50</v>
      </c>
      <c r="G59" s="2">
        <v>100</v>
      </c>
      <c r="H59" s="2">
        <v>50</v>
      </c>
      <c r="I59" s="2">
        <v>50</v>
      </c>
      <c r="J59" s="2">
        <v>300</v>
      </c>
      <c r="K59" s="2">
        <v>300</v>
      </c>
      <c r="L59" s="2">
        <v>842</v>
      </c>
      <c r="M59" s="2"/>
      <c r="N59" s="2"/>
      <c r="O59" s="2"/>
      <c r="P59" s="2"/>
      <c r="Q59" s="2"/>
      <c r="R59" s="2"/>
    </row>
    <row r="60" spans="1:18" x14ac:dyDescent="0.25">
      <c r="A60" s="22">
        <v>54</v>
      </c>
      <c r="B60" s="7" t="s">
        <v>67</v>
      </c>
      <c r="C60" s="2">
        <v>50</v>
      </c>
      <c r="D60" s="2">
        <v>100</v>
      </c>
      <c r="E60" s="2">
        <v>50</v>
      </c>
      <c r="F60" s="2">
        <v>50</v>
      </c>
      <c r="G60" s="2">
        <v>100</v>
      </c>
      <c r="H60" s="2">
        <v>50</v>
      </c>
      <c r="I60" s="2">
        <v>50</v>
      </c>
      <c r="J60" s="2">
        <v>300</v>
      </c>
      <c r="K60" s="2">
        <v>300</v>
      </c>
      <c r="L60" s="2">
        <v>860</v>
      </c>
      <c r="M60" s="2"/>
      <c r="N60" s="2"/>
      <c r="O60" s="2"/>
      <c r="P60" s="2"/>
      <c r="Q60" s="2"/>
      <c r="R60" s="2"/>
    </row>
    <row r="61" spans="1:18" x14ac:dyDescent="0.25">
      <c r="A61" s="6">
        <v>55</v>
      </c>
      <c r="B61" s="7" t="s">
        <v>68</v>
      </c>
      <c r="C61" s="2">
        <v>50</v>
      </c>
      <c r="D61" s="2">
        <v>100</v>
      </c>
      <c r="E61" s="2">
        <v>50</v>
      </c>
      <c r="F61" s="2">
        <v>50</v>
      </c>
      <c r="G61" s="2">
        <v>100</v>
      </c>
      <c r="H61" s="2">
        <v>50</v>
      </c>
      <c r="I61" s="2">
        <v>50</v>
      </c>
      <c r="J61" s="2">
        <v>300</v>
      </c>
      <c r="K61" s="2">
        <v>300</v>
      </c>
      <c r="L61" s="2">
        <v>609</v>
      </c>
      <c r="M61" s="2"/>
      <c r="N61" s="2"/>
      <c r="O61" s="2"/>
      <c r="P61" s="2"/>
      <c r="Q61" s="2"/>
      <c r="R61" s="2"/>
    </row>
    <row r="62" spans="1:18" x14ac:dyDescent="0.25">
      <c r="A62" s="22">
        <v>56</v>
      </c>
      <c r="B62" s="48" t="s">
        <v>77</v>
      </c>
      <c r="C62" s="2">
        <v>50</v>
      </c>
      <c r="D62" s="2">
        <v>100</v>
      </c>
      <c r="E62" s="2">
        <v>50</v>
      </c>
      <c r="F62" s="2">
        <v>50</v>
      </c>
      <c r="G62" s="2">
        <v>100</v>
      </c>
      <c r="H62" s="2">
        <v>50</v>
      </c>
      <c r="I62" s="2">
        <v>50</v>
      </c>
      <c r="J62" s="2">
        <v>300</v>
      </c>
      <c r="K62" s="2">
        <v>300</v>
      </c>
      <c r="L62" s="2"/>
      <c r="M62" s="2"/>
      <c r="N62" s="2"/>
      <c r="O62" s="2"/>
      <c r="P62" s="2"/>
      <c r="Q62" s="2"/>
      <c r="R62" s="2"/>
    </row>
    <row r="63" spans="1:18" x14ac:dyDescent="0.25">
      <c r="A63" s="6">
        <v>57</v>
      </c>
      <c r="B63" s="27" t="s">
        <v>69</v>
      </c>
      <c r="C63" s="2">
        <v>50</v>
      </c>
      <c r="D63" s="2">
        <v>100</v>
      </c>
      <c r="E63" s="2">
        <v>50</v>
      </c>
      <c r="F63" s="2">
        <v>50</v>
      </c>
      <c r="G63" s="2">
        <v>100</v>
      </c>
      <c r="H63" s="2">
        <v>50</v>
      </c>
      <c r="I63" s="2">
        <v>50</v>
      </c>
      <c r="J63" s="2">
        <v>300</v>
      </c>
      <c r="K63" s="22"/>
      <c r="L63" s="22"/>
      <c r="M63" s="2"/>
      <c r="N63" s="2"/>
      <c r="O63" s="2"/>
      <c r="P63" s="2"/>
      <c r="Q63" s="2"/>
      <c r="R63" s="2"/>
    </row>
    <row r="64" spans="1:18" x14ac:dyDescent="0.25">
      <c r="A64" s="22">
        <v>58</v>
      </c>
      <c r="B64" s="7" t="s">
        <v>70</v>
      </c>
      <c r="C64" s="2">
        <v>50</v>
      </c>
      <c r="D64" s="2">
        <v>100</v>
      </c>
      <c r="E64" s="2">
        <v>50</v>
      </c>
      <c r="F64" s="2">
        <v>50</v>
      </c>
      <c r="G64" s="2">
        <v>100</v>
      </c>
      <c r="H64" s="2">
        <v>50</v>
      </c>
      <c r="I64" s="2">
        <v>50</v>
      </c>
      <c r="J64" s="2">
        <v>300</v>
      </c>
      <c r="K64" s="2">
        <v>300</v>
      </c>
      <c r="L64" s="2">
        <v>433</v>
      </c>
      <c r="M64" s="2"/>
      <c r="N64" s="2"/>
      <c r="O64" s="2"/>
      <c r="P64" s="2"/>
      <c r="Q64" s="2"/>
      <c r="R64" s="2"/>
    </row>
    <row r="65" spans="1:24" x14ac:dyDescent="0.25">
      <c r="A65" s="6">
        <v>59</v>
      </c>
      <c r="B65" s="7" t="s">
        <v>71</v>
      </c>
      <c r="C65" s="2">
        <v>50</v>
      </c>
      <c r="D65" s="2">
        <v>100</v>
      </c>
      <c r="E65" s="2">
        <v>50</v>
      </c>
      <c r="F65" s="2">
        <v>50</v>
      </c>
      <c r="G65" s="2">
        <v>100</v>
      </c>
      <c r="H65" s="2">
        <v>50</v>
      </c>
      <c r="I65" s="2">
        <v>50</v>
      </c>
      <c r="J65" s="2">
        <v>300</v>
      </c>
      <c r="K65" s="2">
        <v>300</v>
      </c>
      <c r="L65" s="21" t="s">
        <v>112</v>
      </c>
      <c r="M65" s="2"/>
      <c r="N65" s="2"/>
      <c r="O65" s="2"/>
      <c r="P65" s="2"/>
      <c r="Q65" s="2"/>
      <c r="R65" s="2"/>
    </row>
    <row r="66" spans="1:24" x14ac:dyDescent="0.25">
      <c r="A66" s="22">
        <v>60</v>
      </c>
      <c r="B66" s="7" t="s">
        <v>72</v>
      </c>
      <c r="C66" s="2">
        <v>50</v>
      </c>
      <c r="D66" s="2">
        <v>100</v>
      </c>
      <c r="E66" s="2">
        <v>50</v>
      </c>
      <c r="F66" s="2">
        <v>50</v>
      </c>
      <c r="G66" s="2">
        <v>100</v>
      </c>
      <c r="H66" s="2">
        <v>50</v>
      </c>
      <c r="I66" s="2">
        <v>50</v>
      </c>
      <c r="J66" s="2">
        <v>300</v>
      </c>
      <c r="K66" s="2">
        <v>300</v>
      </c>
      <c r="L66" s="21" t="s">
        <v>109</v>
      </c>
      <c r="M66" s="2"/>
      <c r="N66" s="2"/>
      <c r="O66" s="2"/>
      <c r="P66" s="2"/>
      <c r="Q66" s="2"/>
      <c r="R66" s="2"/>
    </row>
    <row r="67" spans="1:24" x14ac:dyDescent="0.25">
      <c r="A67" s="6">
        <v>61</v>
      </c>
      <c r="B67" s="7" t="s">
        <v>73</v>
      </c>
      <c r="C67" s="2">
        <v>50</v>
      </c>
      <c r="D67" s="2">
        <v>100</v>
      </c>
      <c r="E67" s="2">
        <v>50</v>
      </c>
      <c r="F67" s="2">
        <v>50</v>
      </c>
      <c r="G67" s="2">
        <v>100</v>
      </c>
      <c r="H67" s="2">
        <v>50</v>
      </c>
      <c r="I67" s="2">
        <v>50</v>
      </c>
      <c r="J67" s="2">
        <v>300</v>
      </c>
      <c r="K67" s="2">
        <v>300</v>
      </c>
      <c r="L67" s="2">
        <v>971</v>
      </c>
      <c r="M67" s="2"/>
      <c r="N67" s="2"/>
      <c r="O67" s="2"/>
      <c r="P67" s="2"/>
      <c r="Q67" s="2"/>
      <c r="R67" s="2"/>
    </row>
    <row r="68" spans="1:24" x14ac:dyDescent="0.25">
      <c r="B68" s="16" t="s">
        <v>91</v>
      </c>
      <c r="C68" s="17">
        <f>SUM(C4:C67)</f>
        <v>3050</v>
      </c>
      <c r="D68" s="17">
        <f t="shared" ref="D68:J68" si="0">SUM(D4:D67)</f>
        <v>6100</v>
      </c>
      <c r="E68" s="17">
        <f t="shared" si="0"/>
        <v>3050</v>
      </c>
      <c r="F68" s="17">
        <f t="shared" si="0"/>
        <v>3050</v>
      </c>
      <c r="G68" s="17">
        <f t="shared" si="0"/>
        <v>6100</v>
      </c>
      <c r="H68" s="17">
        <f t="shared" si="0"/>
        <v>3050</v>
      </c>
      <c r="I68" s="17">
        <f t="shared" si="0"/>
        <v>3050</v>
      </c>
      <c r="J68" s="17">
        <f t="shared" si="0"/>
        <v>18000</v>
      </c>
      <c r="K68" s="23">
        <f>SUM(K4:K67)</f>
        <v>15300</v>
      </c>
      <c r="S68" s="18">
        <f>SUM(C68:J68)</f>
        <v>45450</v>
      </c>
      <c r="T68" s="9">
        <v>7200</v>
      </c>
      <c r="U68" s="9">
        <v>600</v>
      </c>
      <c r="V68" s="9">
        <v>9000</v>
      </c>
      <c r="W68" s="9">
        <v>600</v>
      </c>
      <c r="X68" s="18">
        <f>SUM(S68:W68)</f>
        <v>62850</v>
      </c>
    </row>
    <row r="69" spans="1:24" x14ac:dyDescent="0.25">
      <c r="S69" s="9">
        <v>3050</v>
      </c>
    </row>
    <row r="70" spans="1:24" x14ac:dyDescent="0.25">
      <c r="S70" s="9">
        <v>6100</v>
      </c>
    </row>
    <row r="71" spans="1:24" x14ac:dyDescent="0.25">
      <c r="S71" s="9">
        <v>3050</v>
      </c>
    </row>
    <row r="72" spans="1:24" x14ac:dyDescent="0.25">
      <c r="S72" s="9">
        <v>3050</v>
      </c>
    </row>
    <row r="73" spans="1:24" x14ac:dyDescent="0.25">
      <c r="D73" s="10" t="s">
        <v>97</v>
      </c>
      <c r="S73" s="9">
        <v>3050</v>
      </c>
    </row>
    <row r="74" spans="1:24" x14ac:dyDescent="0.25">
      <c r="B74" s="20" t="s">
        <v>92</v>
      </c>
      <c r="C74" s="10">
        <f>300*62</f>
        <v>18600</v>
      </c>
      <c r="D74" s="10">
        <v>18300</v>
      </c>
      <c r="S74" s="9">
        <v>6100</v>
      </c>
    </row>
    <row r="75" spans="1:24" x14ac:dyDescent="0.25">
      <c r="B75" s="9" t="s">
        <v>93</v>
      </c>
      <c r="C75" s="10">
        <f>300*30</f>
        <v>9000</v>
      </c>
      <c r="D75" s="10">
        <v>6600</v>
      </c>
      <c r="S75" s="9">
        <v>3050</v>
      </c>
    </row>
    <row r="76" spans="1:24" x14ac:dyDescent="0.25">
      <c r="B76" s="9" t="s">
        <v>94</v>
      </c>
      <c r="C76" s="10">
        <f>300*15</f>
        <v>4500</v>
      </c>
      <c r="D76" s="10">
        <v>4500</v>
      </c>
      <c r="S76" s="9">
        <v>13200</v>
      </c>
    </row>
    <row r="77" spans="1:24" x14ac:dyDescent="0.25">
      <c r="B77" s="9" t="s">
        <v>95</v>
      </c>
      <c r="C77" s="10">
        <f>300*9</f>
        <v>2700</v>
      </c>
      <c r="D77" s="10">
        <v>2700</v>
      </c>
      <c r="S77" s="9">
        <v>660</v>
      </c>
    </row>
    <row r="78" spans="1:24" x14ac:dyDescent="0.25">
      <c r="B78" s="15" t="s">
        <v>96</v>
      </c>
      <c r="C78" s="16">
        <f>SUM(C74:C77)</f>
        <v>34800</v>
      </c>
      <c r="D78" s="16">
        <f>SUM(D74:D77)</f>
        <v>32100</v>
      </c>
      <c r="S78" s="9">
        <v>1307</v>
      </c>
    </row>
    <row r="79" spans="1:24" x14ac:dyDescent="0.25">
      <c r="S79" s="9">
        <v>5745</v>
      </c>
    </row>
    <row r="80" spans="1:24" x14ac:dyDescent="0.25">
      <c r="B80" s="15" t="s">
        <v>98</v>
      </c>
      <c r="S80" s="9">
        <v>5490</v>
      </c>
    </row>
    <row r="81" spans="2:20" x14ac:dyDescent="0.25">
      <c r="B81" s="9" t="s">
        <v>99</v>
      </c>
      <c r="D81" s="10">
        <v>3200</v>
      </c>
      <c r="S81" s="9">
        <v>1500</v>
      </c>
    </row>
    <row r="82" spans="2:20" x14ac:dyDescent="0.25">
      <c r="B82" s="9" t="s">
        <v>100</v>
      </c>
      <c r="D82" s="10">
        <v>1500</v>
      </c>
      <c r="S82" s="9">
        <v>5000</v>
      </c>
    </row>
    <row r="83" spans="2:20" x14ac:dyDescent="0.25">
      <c r="B83" s="9" t="s">
        <v>101</v>
      </c>
      <c r="D83" s="10">
        <v>5745</v>
      </c>
      <c r="S83" s="9">
        <v>1000</v>
      </c>
      <c r="T83" s="19">
        <f>SUM(S69:S83)</f>
        <v>61352</v>
      </c>
    </row>
    <row r="84" spans="2:20" x14ac:dyDescent="0.25">
      <c r="B84" s="9" t="s">
        <v>102</v>
      </c>
      <c r="D84" s="10">
        <v>5490</v>
      </c>
    </row>
    <row r="85" spans="2:20" x14ac:dyDescent="0.25">
      <c r="B85" s="9" t="s">
        <v>103</v>
      </c>
      <c r="D85" s="10">
        <v>5000</v>
      </c>
    </row>
    <row r="86" spans="2:20" x14ac:dyDescent="0.25">
      <c r="B86" s="9" t="s">
        <v>104</v>
      </c>
      <c r="D86" s="10">
        <v>1967.5</v>
      </c>
    </row>
    <row r="87" spans="2:20" x14ac:dyDescent="0.25">
      <c r="B87" s="9" t="s">
        <v>105</v>
      </c>
      <c r="D87" s="10">
        <v>1000</v>
      </c>
    </row>
    <row r="88" spans="2:20" x14ac:dyDescent="0.25">
      <c r="B88" s="15" t="s">
        <v>106</v>
      </c>
      <c r="C88" s="16"/>
      <c r="D88" s="16">
        <f>SUM(D81:D87)</f>
        <v>23902.5</v>
      </c>
    </row>
    <row r="90" spans="2:20" x14ac:dyDescent="0.25">
      <c r="B90" s="9" t="s">
        <v>107</v>
      </c>
      <c r="D90" s="10">
        <f>D78-D88</f>
        <v>8197.5</v>
      </c>
    </row>
  </sheetData>
  <mergeCells count="1">
    <mergeCell ref="K2:L2"/>
  </mergeCells>
  <pageMargins left="0.7" right="0.7" top="0.75" bottom="0.75" header="0.3" footer="0.3"/>
  <pageSetup paperSize="9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K107"/>
  <sheetViews>
    <sheetView showGridLines="0" tabSelected="1" topLeftCell="B1" zoomScale="63" zoomScaleNormal="70" zoomScaleSheetLayoutView="59" workbookViewId="0">
      <pane ySplit="4" topLeftCell="A7" activePane="bottomLeft" state="frozen"/>
      <selection pane="bottomLeft" activeCell="N27" sqref="N27"/>
    </sheetView>
  </sheetViews>
  <sheetFormatPr defaultRowHeight="13.8" x14ac:dyDescent="0.25"/>
  <cols>
    <col min="1" max="1" width="5.44140625" style="10" customWidth="1"/>
    <col min="2" max="2" width="28" style="9" customWidth="1"/>
    <col min="3" max="20" width="6.6640625" style="10" customWidth="1"/>
    <col min="21" max="21" width="6.6640625" style="16" customWidth="1"/>
    <col min="22" max="54" width="6.6640625" style="10" customWidth="1"/>
    <col min="55" max="55" width="8.88671875" style="9"/>
    <col min="56" max="56" width="16.77734375" style="9" customWidth="1"/>
    <col min="57" max="57" width="27.21875" style="9" customWidth="1"/>
    <col min="58" max="58" width="13.77734375" style="9" customWidth="1"/>
    <col min="59" max="59" width="11.33203125" style="9" customWidth="1"/>
    <col min="60" max="60" width="10.109375" style="10" customWidth="1"/>
    <col min="61" max="61" width="8.88671875" style="10"/>
    <col min="62" max="62" width="8.88671875" style="9"/>
    <col min="63" max="63" width="8.88671875" style="20"/>
    <col min="64" max="16384" width="8.88671875" style="9"/>
  </cols>
  <sheetData>
    <row r="2" spans="1:63" ht="94.2" customHeight="1" x14ac:dyDescent="0.25">
      <c r="A2" s="13" t="s">
        <v>90</v>
      </c>
      <c r="B2" s="13" t="s">
        <v>89</v>
      </c>
      <c r="C2" s="33" t="s">
        <v>129</v>
      </c>
      <c r="D2" s="33" t="s">
        <v>127</v>
      </c>
      <c r="E2" s="33" t="s">
        <v>126</v>
      </c>
      <c r="F2" s="33" t="s">
        <v>125</v>
      </c>
      <c r="G2" s="33" t="s">
        <v>162</v>
      </c>
      <c r="H2" s="33" t="s">
        <v>163</v>
      </c>
      <c r="I2" s="33" t="s">
        <v>164</v>
      </c>
      <c r="J2" s="33" t="s">
        <v>165</v>
      </c>
      <c r="K2" s="33" t="s">
        <v>166</v>
      </c>
      <c r="L2" s="33" t="s">
        <v>167</v>
      </c>
      <c r="M2" s="33" t="s">
        <v>168</v>
      </c>
      <c r="N2" s="33" t="s">
        <v>169</v>
      </c>
      <c r="O2" s="33" t="s">
        <v>170</v>
      </c>
      <c r="P2" s="33" t="s">
        <v>171</v>
      </c>
      <c r="Q2" s="33" t="s">
        <v>172</v>
      </c>
      <c r="R2" s="33" t="s">
        <v>173</v>
      </c>
      <c r="S2" s="33" t="s">
        <v>174</v>
      </c>
      <c r="T2" s="33" t="s">
        <v>175</v>
      </c>
      <c r="U2" s="66" t="s">
        <v>244</v>
      </c>
      <c r="V2" s="33" t="s">
        <v>193</v>
      </c>
      <c r="W2" s="33" t="s">
        <v>194</v>
      </c>
      <c r="X2" s="33" t="s">
        <v>195</v>
      </c>
      <c r="Y2" s="33" t="s">
        <v>196</v>
      </c>
      <c r="Z2" s="33" t="s">
        <v>197</v>
      </c>
      <c r="AA2" s="33" t="s">
        <v>198</v>
      </c>
      <c r="AB2" s="33" t="s">
        <v>199</v>
      </c>
      <c r="AC2" s="33" t="s">
        <v>200</v>
      </c>
      <c r="AD2" s="33" t="s">
        <v>201</v>
      </c>
      <c r="AE2" s="33" t="s">
        <v>202</v>
      </c>
      <c r="AF2" s="33" t="s">
        <v>203</v>
      </c>
      <c r="AG2" s="33" t="s">
        <v>204</v>
      </c>
      <c r="AH2" s="33" t="s">
        <v>206</v>
      </c>
      <c r="AI2" s="33" t="s">
        <v>207</v>
      </c>
      <c r="AJ2" s="66" t="s">
        <v>245</v>
      </c>
      <c r="AK2" s="33" t="s">
        <v>213</v>
      </c>
      <c r="AL2" s="33" t="s">
        <v>214</v>
      </c>
      <c r="AM2" s="33" t="s">
        <v>276</v>
      </c>
      <c r="AN2" s="33" t="s">
        <v>277</v>
      </c>
      <c r="AO2" s="33" t="s">
        <v>278</v>
      </c>
      <c r="AP2" s="33" t="s">
        <v>279</v>
      </c>
      <c r="AQ2" s="33" t="s">
        <v>282</v>
      </c>
      <c r="AR2" s="33" t="s">
        <v>284</v>
      </c>
      <c r="AS2" s="33" t="s">
        <v>275</v>
      </c>
      <c r="AT2" s="33" t="s">
        <v>285</v>
      </c>
      <c r="AU2" s="33" t="s">
        <v>286</v>
      </c>
      <c r="AV2" s="33" t="s">
        <v>287</v>
      </c>
      <c r="AW2" s="33" t="s">
        <v>289</v>
      </c>
      <c r="AX2" s="66" t="s">
        <v>288</v>
      </c>
      <c r="AY2" s="33"/>
      <c r="AZ2" s="33"/>
      <c r="BA2" s="33"/>
      <c r="BB2" s="46" t="s">
        <v>91</v>
      </c>
    </row>
    <row r="3" spans="1:63" ht="14.4" customHeight="1" x14ac:dyDescent="0.25">
      <c r="A3" s="34"/>
      <c r="B3" s="36" t="s">
        <v>130</v>
      </c>
      <c r="C3" s="44">
        <v>38718</v>
      </c>
      <c r="D3" s="45">
        <v>39083</v>
      </c>
      <c r="E3" s="45">
        <v>39083</v>
      </c>
      <c r="F3" s="45">
        <v>39814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11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78" t="s">
        <v>274</v>
      </c>
      <c r="AN3" s="78" t="s">
        <v>273</v>
      </c>
      <c r="AO3" s="78" t="s">
        <v>273</v>
      </c>
      <c r="AP3" s="78" t="s">
        <v>280</v>
      </c>
      <c r="AQ3" s="78" t="s">
        <v>281</v>
      </c>
      <c r="AR3" s="78" t="s">
        <v>283</v>
      </c>
      <c r="AS3" s="78" t="s">
        <v>283</v>
      </c>
      <c r="AT3" s="35"/>
      <c r="AU3" s="35"/>
      <c r="AV3" s="35"/>
      <c r="AW3" s="35"/>
      <c r="AX3" s="35"/>
      <c r="AY3" s="35"/>
      <c r="AZ3" s="35"/>
      <c r="BA3" s="35"/>
      <c r="BB3" s="35"/>
      <c r="BD3" s="15" t="s">
        <v>158</v>
      </c>
    </row>
    <row r="4" spans="1:63" s="15" customFormat="1" x14ac:dyDescent="0.25">
      <c r="A4" s="11"/>
      <c r="B4" s="37" t="s">
        <v>128</v>
      </c>
      <c r="C4" s="11">
        <v>50</v>
      </c>
      <c r="D4" s="11">
        <v>100</v>
      </c>
      <c r="E4" s="11">
        <v>100</v>
      </c>
      <c r="F4" s="11">
        <v>50</v>
      </c>
      <c r="G4" s="11">
        <v>50</v>
      </c>
      <c r="H4" s="11">
        <v>50</v>
      </c>
      <c r="I4" s="11">
        <v>100</v>
      </c>
      <c r="J4" s="11">
        <v>100</v>
      </c>
      <c r="K4" s="11">
        <v>50</v>
      </c>
      <c r="L4" s="11">
        <v>50</v>
      </c>
      <c r="M4" s="11">
        <v>50</v>
      </c>
      <c r="N4" s="11">
        <v>50</v>
      </c>
      <c r="O4" s="11">
        <v>50</v>
      </c>
      <c r="P4" s="11">
        <v>100</v>
      </c>
      <c r="Q4" s="11">
        <v>50</v>
      </c>
      <c r="R4" s="11">
        <v>100</v>
      </c>
      <c r="S4" s="11">
        <v>50</v>
      </c>
      <c r="T4" s="11">
        <v>100</v>
      </c>
      <c r="U4" s="11">
        <f>SUM(C4:T4)</f>
        <v>1250</v>
      </c>
      <c r="V4" s="11">
        <v>50</v>
      </c>
      <c r="W4" s="11">
        <v>50</v>
      </c>
      <c r="X4" s="11">
        <v>50</v>
      </c>
      <c r="Y4" s="11">
        <v>50</v>
      </c>
      <c r="Z4" s="11">
        <v>100</v>
      </c>
      <c r="AA4" s="11">
        <v>50</v>
      </c>
      <c r="AB4" s="11">
        <v>50</v>
      </c>
      <c r="AC4" s="11">
        <v>50</v>
      </c>
      <c r="AD4" s="11">
        <v>50</v>
      </c>
      <c r="AE4" s="11">
        <v>50</v>
      </c>
      <c r="AF4" s="11">
        <v>100</v>
      </c>
      <c r="AG4" s="11">
        <v>100</v>
      </c>
      <c r="AH4" s="11">
        <v>100</v>
      </c>
      <c r="AI4" s="11">
        <v>600</v>
      </c>
      <c r="AJ4" s="11">
        <f>SUM(V4:AI4)</f>
        <v>1450</v>
      </c>
      <c r="AK4" s="11">
        <v>100</v>
      </c>
      <c r="AL4" s="11">
        <v>240</v>
      </c>
      <c r="AM4" s="11">
        <v>50</v>
      </c>
      <c r="AN4" s="11">
        <v>100</v>
      </c>
      <c r="AO4" s="11">
        <v>100</v>
      </c>
      <c r="AP4" s="11">
        <v>50</v>
      </c>
      <c r="AQ4" s="11">
        <v>100</v>
      </c>
      <c r="AR4" s="11">
        <v>50</v>
      </c>
      <c r="AS4" s="11">
        <v>50</v>
      </c>
      <c r="AT4" s="11">
        <v>50</v>
      </c>
      <c r="AU4" s="11">
        <v>50</v>
      </c>
      <c r="AV4" s="11">
        <v>100</v>
      </c>
      <c r="AW4" s="11"/>
      <c r="AX4" s="11">
        <f>SUM(AM4:AV4)</f>
        <v>700</v>
      </c>
      <c r="AY4" s="11"/>
      <c r="AZ4" s="11"/>
      <c r="BA4" s="11"/>
      <c r="BB4" s="11">
        <f>SUM(U4,AJ4)</f>
        <v>2700</v>
      </c>
      <c r="BH4" s="16"/>
      <c r="BI4" s="16"/>
      <c r="BK4" s="70"/>
    </row>
    <row r="5" spans="1:63" x14ac:dyDescent="0.25">
      <c r="A5" s="6">
        <v>1</v>
      </c>
      <c r="B5" s="7" t="s">
        <v>20</v>
      </c>
      <c r="C5" s="25">
        <v>50</v>
      </c>
      <c r="D5" s="25">
        <v>100</v>
      </c>
      <c r="E5" s="25">
        <v>100</v>
      </c>
      <c r="F5" s="25">
        <v>50</v>
      </c>
      <c r="G5" s="25">
        <v>50</v>
      </c>
      <c r="H5" s="25">
        <v>50</v>
      </c>
      <c r="I5" s="25">
        <v>100</v>
      </c>
      <c r="J5" s="25">
        <v>100</v>
      </c>
      <c r="K5" s="25">
        <v>50</v>
      </c>
      <c r="L5" s="25">
        <v>50</v>
      </c>
      <c r="M5" s="25">
        <v>50</v>
      </c>
      <c r="N5" s="25">
        <v>50</v>
      </c>
      <c r="O5" s="25">
        <v>50</v>
      </c>
      <c r="P5" s="25">
        <v>100</v>
      </c>
      <c r="Q5" s="25">
        <v>50</v>
      </c>
      <c r="R5" s="25">
        <v>100</v>
      </c>
      <c r="S5" s="25">
        <v>50</v>
      </c>
      <c r="T5" s="25">
        <v>100</v>
      </c>
      <c r="U5" s="67">
        <f>SUM(C5:T5)</f>
        <v>1250</v>
      </c>
      <c r="V5" s="25">
        <v>50</v>
      </c>
      <c r="W5" s="25">
        <v>50</v>
      </c>
      <c r="X5" s="25">
        <v>50</v>
      </c>
      <c r="Y5" s="25">
        <v>50</v>
      </c>
      <c r="Z5" s="25">
        <v>100</v>
      </c>
      <c r="AA5" s="25">
        <v>50</v>
      </c>
      <c r="AB5" s="25">
        <v>50</v>
      </c>
      <c r="AC5" s="25">
        <v>50</v>
      </c>
      <c r="AD5" s="25">
        <v>50</v>
      </c>
      <c r="AE5" s="25">
        <v>50</v>
      </c>
      <c r="AF5" s="25">
        <v>100</v>
      </c>
      <c r="AG5" s="25">
        <v>100</v>
      </c>
      <c r="AH5" s="25">
        <v>100</v>
      </c>
      <c r="AI5" s="25">
        <v>600</v>
      </c>
      <c r="AJ5" s="67">
        <f t="shared" ref="AJ5:AJ72" si="0">SUM(V5:AI5)</f>
        <v>1450</v>
      </c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11">
        <f t="shared" ref="AX5:AX73" si="1">SUM(AM5:AV5)</f>
        <v>0</v>
      </c>
      <c r="AY5" s="25"/>
      <c r="AZ5" s="25"/>
      <c r="BA5" s="2"/>
      <c r="BB5" s="11">
        <f t="shared" ref="BB5:BB23" si="2">SUM(U5,AJ5)</f>
        <v>2700</v>
      </c>
    </row>
    <row r="6" spans="1:63" x14ac:dyDescent="0.25">
      <c r="A6" s="6"/>
      <c r="B6" s="7" t="s">
        <v>21</v>
      </c>
      <c r="C6" s="25">
        <v>50</v>
      </c>
      <c r="D6" s="25">
        <v>100</v>
      </c>
      <c r="E6" s="25">
        <v>100</v>
      </c>
      <c r="F6" s="25">
        <v>50</v>
      </c>
      <c r="G6" s="25">
        <v>50</v>
      </c>
      <c r="H6" s="25">
        <v>50</v>
      </c>
      <c r="I6" s="25">
        <v>100</v>
      </c>
      <c r="J6" s="25">
        <v>100</v>
      </c>
      <c r="K6" s="25">
        <v>50</v>
      </c>
      <c r="L6" s="25">
        <v>50</v>
      </c>
      <c r="M6" s="25">
        <v>50</v>
      </c>
      <c r="N6" s="25">
        <v>50</v>
      </c>
      <c r="O6" s="25">
        <v>50</v>
      </c>
      <c r="P6" s="25">
        <v>100</v>
      </c>
      <c r="Q6" s="25">
        <v>50</v>
      </c>
      <c r="R6" s="25">
        <v>100</v>
      </c>
      <c r="S6" s="25">
        <v>50</v>
      </c>
      <c r="T6" s="25">
        <v>100</v>
      </c>
      <c r="U6" s="67">
        <f t="shared" ref="U6:U74" si="3">SUM(C6:T6)</f>
        <v>1250</v>
      </c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"/>
      <c r="AH6" s="2"/>
      <c r="AI6" s="2"/>
      <c r="AJ6" s="67">
        <f t="shared" si="0"/>
        <v>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11">
        <f t="shared" si="1"/>
        <v>0</v>
      </c>
      <c r="AY6" s="2"/>
      <c r="AZ6" s="2"/>
      <c r="BA6" s="2"/>
      <c r="BB6" s="11">
        <f t="shared" si="2"/>
        <v>1250</v>
      </c>
      <c r="BD6" s="15" t="s">
        <v>159</v>
      </c>
      <c r="BE6" s="15" t="s">
        <v>135</v>
      </c>
      <c r="BF6" s="15" t="s">
        <v>160</v>
      </c>
      <c r="BG6" s="15"/>
      <c r="BH6" s="16" t="s">
        <v>128</v>
      </c>
    </row>
    <row r="7" spans="1:63" x14ac:dyDescent="0.25">
      <c r="A7" s="6">
        <v>2</v>
      </c>
      <c r="B7" s="7" t="s">
        <v>161</v>
      </c>
      <c r="C7" s="25">
        <v>50</v>
      </c>
      <c r="D7" s="25">
        <v>100</v>
      </c>
      <c r="E7" s="25">
        <v>100</v>
      </c>
      <c r="F7" s="25">
        <v>50</v>
      </c>
      <c r="G7" s="25">
        <v>50</v>
      </c>
      <c r="H7" s="25">
        <v>50</v>
      </c>
      <c r="I7" s="25">
        <v>100</v>
      </c>
      <c r="J7" s="25">
        <v>100</v>
      </c>
      <c r="K7" s="25">
        <v>50</v>
      </c>
      <c r="L7" s="25">
        <v>50</v>
      </c>
      <c r="M7" s="25">
        <v>50</v>
      </c>
      <c r="N7" s="25">
        <v>50</v>
      </c>
      <c r="O7" s="25">
        <v>50</v>
      </c>
      <c r="P7" s="25">
        <v>100</v>
      </c>
      <c r="Q7" s="25">
        <v>50</v>
      </c>
      <c r="R7" s="25">
        <v>100</v>
      </c>
      <c r="S7" s="25">
        <v>50</v>
      </c>
      <c r="T7" s="25">
        <v>100</v>
      </c>
      <c r="U7" s="67">
        <f t="shared" si="3"/>
        <v>1250</v>
      </c>
      <c r="V7" s="25">
        <v>50</v>
      </c>
      <c r="W7" s="25">
        <v>50</v>
      </c>
      <c r="X7" s="25">
        <v>50</v>
      </c>
      <c r="Y7" s="25">
        <v>50</v>
      </c>
      <c r="Z7" s="25">
        <v>100</v>
      </c>
      <c r="AA7" s="25">
        <v>50</v>
      </c>
      <c r="AB7" s="25">
        <v>50</v>
      </c>
      <c r="AC7" s="25">
        <v>50</v>
      </c>
      <c r="AD7" s="25">
        <v>50</v>
      </c>
      <c r="AE7" s="25">
        <v>50</v>
      </c>
      <c r="AF7" s="25">
        <v>100</v>
      </c>
      <c r="AG7" s="25">
        <v>100</v>
      </c>
      <c r="AH7" s="25">
        <v>100</v>
      </c>
      <c r="AI7" s="25">
        <v>600</v>
      </c>
      <c r="AJ7" s="67">
        <f t="shared" si="0"/>
        <v>1450</v>
      </c>
      <c r="AK7" s="25">
        <v>100</v>
      </c>
      <c r="AL7" s="25">
        <v>240</v>
      </c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11">
        <f t="shared" si="1"/>
        <v>0</v>
      </c>
      <c r="AY7" s="25"/>
      <c r="AZ7" s="25"/>
      <c r="BA7" s="2"/>
      <c r="BB7" s="11">
        <f t="shared" si="2"/>
        <v>2700</v>
      </c>
      <c r="BD7" s="15"/>
      <c r="BE7" s="15"/>
      <c r="BF7" s="15"/>
      <c r="BG7" s="15"/>
      <c r="BH7" s="16"/>
    </row>
    <row r="8" spans="1:63" ht="14.4" customHeight="1" x14ac:dyDescent="0.25">
      <c r="A8" s="6">
        <v>3</v>
      </c>
      <c r="B8" s="7" t="s">
        <v>22</v>
      </c>
      <c r="C8" s="25">
        <v>50</v>
      </c>
      <c r="D8" s="25">
        <v>100</v>
      </c>
      <c r="E8" s="25">
        <v>100</v>
      </c>
      <c r="F8" s="25">
        <v>50</v>
      </c>
      <c r="G8" s="25">
        <v>50</v>
      </c>
      <c r="H8" s="25">
        <v>50</v>
      </c>
      <c r="I8" s="25">
        <v>100</v>
      </c>
      <c r="J8" s="25">
        <v>100</v>
      </c>
      <c r="K8" s="25">
        <v>50</v>
      </c>
      <c r="L8" s="25">
        <v>50</v>
      </c>
      <c r="M8" s="25">
        <v>50</v>
      </c>
      <c r="N8" s="25">
        <v>50</v>
      </c>
      <c r="O8" s="25">
        <v>50</v>
      </c>
      <c r="P8" s="25">
        <v>100</v>
      </c>
      <c r="Q8" s="25">
        <v>50</v>
      </c>
      <c r="R8" s="25">
        <v>100</v>
      </c>
      <c r="S8" s="25">
        <v>50</v>
      </c>
      <c r="T8" s="25">
        <v>100</v>
      </c>
      <c r="U8" s="67">
        <f t="shared" si="3"/>
        <v>1250</v>
      </c>
      <c r="V8" s="25">
        <v>50</v>
      </c>
      <c r="W8" s="25">
        <v>50</v>
      </c>
      <c r="X8" s="25">
        <v>50</v>
      </c>
      <c r="Y8" s="25">
        <v>50</v>
      </c>
      <c r="Z8" s="25">
        <v>100</v>
      </c>
      <c r="AA8" s="25">
        <v>50</v>
      </c>
      <c r="AB8" s="25">
        <v>50</v>
      </c>
      <c r="AC8" s="25">
        <v>50</v>
      </c>
      <c r="AD8" s="25">
        <v>50</v>
      </c>
      <c r="AE8" s="25">
        <v>50</v>
      </c>
      <c r="AF8" s="25">
        <v>100</v>
      </c>
      <c r="AG8" s="25">
        <v>100</v>
      </c>
      <c r="AH8" s="25">
        <v>100</v>
      </c>
      <c r="AI8" s="25">
        <v>600</v>
      </c>
      <c r="AJ8" s="67">
        <f t="shared" si="0"/>
        <v>1450</v>
      </c>
      <c r="AK8" s="25">
        <v>100</v>
      </c>
      <c r="AL8" s="25">
        <v>240</v>
      </c>
      <c r="AM8" s="25">
        <v>50</v>
      </c>
      <c r="AN8" s="25">
        <v>100</v>
      </c>
      <c r="AO8" s="25">
        <v>100</v>
      </c>
      <c r="AP8" s="25">
        <v>50</v>
      </c>
      <c r="AQ8" s="25">
        <v>100</v>
      </c>
      <c r="AR8" s="25">
        <v>50</v>
      </c>
      <c r="AS8" s="25">
        <v>50</v>
      </c>
      <c r="AT8" s="25">
        <v>50</v>
      </c>
      <c r="AU8" s="25">
        <v>50</v>
      </c>
      <c r="AV8" s="25">
        <v>100</v>
      </c>
      <c r="AW8" s="25"/>
      <c r="AX8" s="11">
        <f t="shared" si="1"/>
        <v>700</v>
      </c>
      <c r="AY8" s="25"/>
      <c r="AZ8" s="25"/>
      <c r="BA8" s="2"/>
      <c r="BB8" s="11">
        <f t="shared" si="2"/>
        <v>2700</v>
      </c>
      <c r="BD8" s="9" t="s">
        <v>152</v>
      </c>
      <c r="BE8" s="9" t="s">
        <v>136</v>
      </c>
      <c r="BF8" s="9" t="s">
        <v>156</v>
      </c>
      <c r="BH8" s="10">
        <v>50</v>
      </c>
      <c r="BJ8" s="82" t="s">
        <v>176</v>
      </c>
      <c r="BK8" s="20" t="s">
        <v>3</v>
      </c>
    </row>
    <row r="9" spans="1:63" ht="14.4" customHeight="1" x14ac:dyDescent="0.25">
      <c r="A9" s="6">
        <v>4</v>
      </c>
      <c r="B9" s="7" t="s">
        <v>23</v>
      </c>
      <c r="C9" s="25">
        <v>50</v>
      </c>
      <c r="D9" s="25">
        <v>100</v>
      </c>
      <c r="E9" s="25">
        <v>100</v>
      </c>
      <c r="F9" s="25">
        <v>50</v>
      </c>
      <c r="G9" s="25">
        <v>50</v>
      </c>
      <c r="H9" s="25">
        <v>50</v>
      </c>
      <c r="I9" s="25">
        <v>100</v>
      </c>
      <c r="J9" s="25">
        <v>100</v>
      </c>
      <c r="K9" s="25">
        <v>50</v>
      </c>
      <c r="L9" s="25">
        <v>50</v>
      </c>
      <c r="M9" s="25">
        <v>50</v>
      </c>
      <c r="N9" s="25">
        <v>50</v>
      </c>
      <c r="O9" s="25">
        <v>50</v>
      </c>
      <c r="P9" s="25">
        <v>100</v>
      </c>
      <c r="Q9" s="25">
        <v>50</v>
      </c>
      <c r="R9" s="25">
        <v>100</v>
      </c>
      <c r="S9" s="25">
        <v>50</v>
      </c>
      <c r="T9" s="25">
        <v>100</v>
      </c>
      <c r="U9" s="67">
        <f t="shared" si="3"/>
        <v>1250</v>
      </c>
      <c r="V9" s="25">
        <v>50</v>
      </c>
      <c r="W9" s="25">
        <v>50</v>
      </c>
      <c r="X9" s="25">
        <v>50</v>
      </c>
      <c r="Y9" s="25">
        <v>50</v>
      </c>
      <c r="Z9" s="25">
        <v>100</v>
      </c>
      <c r="AA9" s="25">
        <v>50</v>
      </c>
      <c r="AB9" s="25">
        <v>50</v>
      </c>
      <c r="AC9" s="25">
        <v>50</v>
      </c>
      <c r="AD9" s="25">
        <v>50</v>
      </c>
      <c r="AE9" s="25">
        <v>50</v>
      </c>
      <c r="AF9" s="25">
        <v>100</v>
      </c>
      <c r="AG9" s="25">
        <v>100</v>
      </c>
      <c r="AH9" s="25">
        <v>100</v>
      </c>
      <c r="AI9" s="25">
        <v>600</v>
      </c>
      <c r="AJ9" s="67">
        <f t="shared" ref="AJ9" si="4">SUM(V9:AI9)</f>
        <v>1450</v>
      </c>
      <c r="AK9" s="25">
        <v>100</v>
      </c>
      <c r="AL9" s="25">
        <v>240</v>
      </c>
      <c r="AM9" s="25">
        <v>50</v>
      </c>
      <c r="AN9" s="25">
        <v>100</v>
      </c>
      <c r="AO9" s="25">
        <v>100</v>
      </c>
      <c r="AP9" s="25">
        <v>50</v>
      </c>
      <c r="AQ9" s="25">
        <v>100</v>
      </c>
      <c r="AR9" s="25">
        <v>50</v>
      </c>
      <c r="AS9" s="25">
        <v>50</v>
      </c>
      <c r="AT9" s="25">
        <v>50</v>
      </c>
      <c r="AU9" s="25">
        <v>50</v>
      </c>
      <c r="AV9" s="25">
        <v>100</v>
      </c>
      <c r="AW9" s="2"/>
      <c r="AX9" s="11">
        <f t="shared" si="1"/>
        <v>700</v>
      </c>
      <c r="AY9" s="2"/>
      <c r="AZ9" s="2"/>
      <c r="BA9" s="2"/>
      <c r="BB9" s="11">
        <f t="shared" si="2"/>
        <v>2700</v>
      </c>
      <c r="BE9" s="9" t="s">
        <v>137</v>
      </c>
      <c r="BF9" s="9" t="s">
        <v>134</v>
      </c>
      <c r="BH9" s="10">
        <v>100</v>
      </c>
      <c r="BJ9" s="82" t="s">
        <v>176</v>
      </c>
      <c r="BK9" s="20" t="s">
        <v>8</v>
      </c>
    </row>
    <row r="10" spans="1:63" ht="14.4" customHeight="1" x14ac:dyDescent="0.25">
      <c r="A10" s="6">
        <v>5</v>
      </c>
      <c r="B10" s="30" t="s">
        <v>49</v>
      </c>
      <c r="C10" s="25">
        <v>50</v>
      </c>
      <c r="D10" s="25">
        <v>100</v>
      </c>
      <c r="E10" s="25">
        <v>100</v>
      </c>
      <c r="F10" s="25">
        <v>50</v>
      </c>
      <c r="G10" s="25">
        <v>50</v>
      </c>
      <c r="H10" s="25">
        <v>50</v>
      </c>
      <c r="I10" s="25">
        <v>100</v>
      </c>
      <c r="J10" s="25">
        <v>100</v>
      </c>
      <c r="K10" s="25">
        <v>50</v>
      </c>
      <c r="L10" s="25">
        <v>50</v>
      </c>
      <c r="M10" s="25">
        <v>50</v>
      </c>
      <c r="N10" s="25">
        <v>50</v>
      </c>
      <c r="O10" s="25">
        <v>50</v>
      </c>
      <c r="P10" s="25">
        <v>100</v>
      </c>
      <c r="Q10" s="25">
        <v>50</v>
      </c>
      <c r="R10" s="25">
        <v>100</v>
      </c>
      <c r="S10" s="25">
        <v>50</v>
      </c>
      <c r="T10" s="25">
        <v>100</v>
      </c>
      <c r="U10" s="67">
        <f>SUM(C10:T10)</f>
        <v>1250</v>
      </c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67">
        <f>SUM(V10:AI10)</f>
        <v>0</v>
      </c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11">
        <f t="shared" si="1"/>
        <v>0</v>
      </c>
      <c r="AY10" s="25"/>
      <c r="AZ10" s="25"/>
      <c r="BA10" s="25"/>
      <c r="BB10" s="11">
        <f t="shared" si="2"/>
        <v>1250</v>
      </c>
      <c r="BE10" s="9" t="s">
        <v>138</v>
      </c>
      <c r="BF10" s="9" t="s">
        <v>134</v>
      </c>
      <c r="BH10" s="10">
        <v>100</v>
      </c>
      <c r="BJ10" s="82" t="s">
        <v>176</v>
      </c>
      <c r="BK10" s="20" t="s">
        <v>246</v>
      </c>
    </row>
    <row r="11" spans="1:63" x14ac:dyDescent="0.25">
      <c r="A11" s="6">
        <v>6</v>
      </c>
      <c r="B11" s="7" t="s">
        <v>269</v>
      </c>
      <c r="C11" s="25">
        <v>50</v>
      </c>
      <c r="D11" s="25">
        <v>100</v>
      </c>
      <c r="E11" s="25">
        <v>100</v>
      </c>
      <c r="F11" s="25">
        <v>50</v>
      </c>
      <c r="G11" s="25">
        <v>50</v>
      </c>
      <c r="H11" s="25">
        <v>50</v>
      </c>
      <c r="I11" s="25">
        <v>100</v>
      </c>
      <c r="J11" s="25">
        <v>100</v>
      </c>
      <c r="K11" s="25">
        <v>50</v>
      </c>
      <c r="L11" s="25">
        <v>50</v>
      </c>
      <c r="M11" s="25">
        <v>50</v>
      </c>
      <c r="N11" s="25">
        <v>50</v>
      </c>
      <c r="O11" s="25">
        <v>50</v>
      </c>
      <c r="P11" s="25">
        <v>100</v>
      </c>
      <c r="Q11" s="25">
        <v>50</v>
      </c>
      <c r="R11" s="25">
        <v>100</v>
      </c>
      <c r="S11" s="25">
        <v>50</v>
      </c>
      <c r="T11" s="25">
        <v>100</v>
      </c>
      <c r="U11" s="67">
        <f t="shared" si="3"/>
        <v>1250</v>
      </c>
      <c r="V11" s="25">
        <v>50</v>
      </c>
      <c r="W11" s="25">
        <v>50</v>
      </c>
      <c r="X11" s="25">
        <v>50</v>
      </c>
      <c r="Y11" s="25">
        <v>50</v>
      </c>
      <c r="Z11" s="25">
        <v>100</v>
      </c>
      <c r="AA11" s="25">
        <v>50</v>
      </c>
      <c r="AB11" s="25">
        <v>50</v>
      </c>
      <c r="AC11" s="25">
        <v>50</v>
      </c>
      <c r="AD11" s="25">
        <v>50</v>
      </c>
      <c r="AE11" s="25">
        <v>50</v>
      </c>
      <c r="AF11" s="25">
        <v>100</v>
      </c>
      <c r="AG11" s="25">
        <v>100</v>
      </c>
      <c r="AH11" s="25">
        <v>100</v>
      </c>
      <c r="AI11" s="25">
        <v>600</v>
      </c>
      <c r="AJ11" s="67">
        <f>SUM(V11:AI11)</f>
        <v>1450</v>
      </c>
      <c r="AK11" s="25">
        <v>100</v>
      </c>
      <c r="AL11" s="25">
        <v>240</v>
      </c>
      <c r="AM11" s="25">
        <v>50</v>
      </c>
      <c r="AN11" s="25">
        <v>100</v>
      </c>
      <c r="AO11" s="25">
        <v>100</v>
      </c>
      <c r="AP11" s="25">
        <v>50</v>
      </c>
      <c r="AQ11" s="25">
        <v>100</v>
      </c>
      <c r="AR11" s="25">
        <v>50</v>
      </c>
      <c r="AS11" s="25">
        <v>50</v>
      </c>
      <c r="AT11" s="25">
        <v>50</v>
      </c>
      <c r="AU11" s="25">
        <v>50</v>
      </c>
      <c r="AV11" s="25">
        <v>100</v>
      </c>
      <c r="AW11" s="25"/>
      <c r="AX11" s="11">
        <f t="shared" si="1"/>
        <v>700</v>
      </c>
      <c r="AY11" s="25"/>
      <c r="AZ11" s="25"/>
      <c r="BA11" s="2"/>
      <c r="BB11" s="11">
        <f t="shared" si="2"/>
        <v>2700</v>
      </c>
      <c r="BE11" s="9" t="s">
        <v>139</v>
      </c>
      <c r="BF11" s="9" t="s">
        <v>157</v>
      </c>
      <c r="BH11" s="10">
        <v>50</v>
      </c>
      <c r="BJ11" s="82" t="s">
        <v>176</v>
      </c>
      <c r="BK11" s="20" t="s">
        <v>8</v>
      </c>
    </row>
    <row r="12" spans="1:63" x14ac:dyDescent="0.25">
      <c r="A12" s="6">
        <v>7</v>
      </c>
      <c r="B12" s="7" t="s">
        <v>294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67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67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11"/>
      <c r="AY12" s="25"/>
      <c r="AZ12" s="25"/>
      <c r="BA12" s="2"/>
      <c r="BB12" s="11"/>
      <c r="BJ12" s="82"/>
    </row>
    <row r="13" spans="1:63" s="31" customFormat="1" x14ac:dyDescent="0.25">
      <c r="A13" s="6">
        <v>8</v>
      </c>
      <c r="B13" s="7" t="s">
        <v>24</v>
      </c>
      <c r="C13" s="25">
        <v>50</v>
      </c>
      <c r="D13" s="25">
        <v>100</v>
      </c>
      <c r="E13" s="25">
        <v>100</v>
      </c>
      <c r="F13" s="25">
        <v>50</v>
      </c>
      <c r="G13" s="25">
        <v>50</v>
      </c>
      <c r="H13" s="25">
        <v>50</v>
      </c>
      <c r="I13" s="25">
        <v>100</v>
      </c>
      <c r="J13" s="25">
        <v>100</v>
      </c>
      <c r="K13" s="25">
        <v>50</v>
      </c>
      <c r="L13" s="25">
        <v>50</v>
      </c>
      <c r="M13" s="25">
        <v>50</v>
      </c>
      <c r="N13" s="25">
        <v>50</v>
      </c>
      <c r="O13" s="25">
        <v>50</v>
      </c>
      <c r="P13" s="25">
        <v>100</v>
      </c>
      <c r="Q13" s="25">
        <v>50</v>
      </c>
      <c r="R13" s="25">
        <v>100</v>
      </c>
      <c r="S13" s="25">
        <v>50</v>
      </c>
      <c r="T13" s="25">
        <v>100</v>
      </c>
      <c r="U13" s="67">
        <f t="shared" si="3"/>
        <v>1250</v>
      </c>
      <c r="V13" s="25">
        <v>50</v>
      </c>
      <c r="W13" s="25">
        <v>50</v>
      </c>
      <c r="X13" s="25">
        <v>50</v>
      </c>
      <c r="Y13" s="25">
        <v>50</v>
      </c>
      <c r="Z13" s="25">
        <v>100</v>
      </c>
      <c r="AA13" s="25">
        <v>50</v>
      </c>
      <c r="AB13" s="25">
        <v>50</v>
      </c>
      <c r="AC13" s="25">
        <v>50</v>
      </c>
      <c r="AD13" s="25">
        <v>50</v>
      </c>
      <c r="AE13" s="25">
        <v>50</v>
      </c>
      <c r="AF13" s="25">
        <v>100</v>
      </c>
      <c r="AG13" s="2">
        <v>100</v>
      </c>
      <c r="AH13" s="2">
        <v>100</v>
      </c>
      <c r="AI13" s="77">
        <v>100</v>
      </c>
      <c r="AJ13" s="67">
        <f t="shared" si="0"/>
        <v>950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11">
        <f t="shared" si="1"/>
        <v>0</v>
      </c>
      <c r="AY13" s="2"/>
      <c r="AZ13" s="2"/>
      <c r="BA13" s="2"/>
      <c r="BB13" s="11">
        <f t="shared" si="2"/>
        <v>2200</v>
      </c>
      <c r="BD13" s="9"/>
      <c r="BE13" s="9" t="s">
        <v>140</v>
      </c>
      <c r="BF13" s="9" t="s">
        <v>157</v>
      </c>
      <c r="BG13" s="9"/>
      <c r="BH13" s="10">
        <v>50</v>
      </c>
      <c r="BI13" s="10"/>
      <c r="BJ13" s="83" t="s">
        <v>176</v>
      </c>
      <c r="BK13" s="20" t="s">
        <v>8</v>
      </c>
    </row>
    <row r="14" spans="1:63" s="31" customFormat="1" x14ac:dyDescent="0.25">
      <c r="A14" s="6"/>
      <c r="B14" s="30" t="s">
        <v>25</v>
      </c>
      <c r="C14" s="25">
        <v>50</v>
      </c>
      <c r="D14" s="25">
        <v>100</v>
      </c>
      <c r="E14" s="25">
        <v>100</v>
      </c>
      <c r="F14" s="25">
        <v>50</v>
      </c>
      <c r="G14" s="25">
        <v>50</v>
      </c>
      <c r="H14" s="25">
        <v>50</v>
      </c>
      <c r="I14" s="25">
        <v>100</v>
      </c>
      <c r="J14" s="25">
        <v>100</v>
      </c>
      <c r="K14" s="25">
        <v>50</v>
      </c>
      <c r="L14" s="25">
        <v>50</v>
      </c>
      <c r="M14" s="25">
        <v>50</v>
      </c>
      <c r="N14" s="25">
        <v>50</v>
      </c>
      <c r="O14" s="25">
        <v>50</v>
      </c>
      <c r="P14" s="25">
        <v>100</v>
      </c>
      <c r="Q14" s="25">
        <v>50</v>
      </c>
      <c r="R14" s="25">
        <v>100</v>
      </c>
      <c r="S14" s="25">
        <v>50</v>
      </c>
      <c r="T14" s="25">
        <v>100</v>
      </c>
      <c r="U14" s="67">
        <f t="shared" si="3"/>
        <v>1250</v>
      </c>
      <c r="V14" s="25">
        <v>50</v>
      </c>
      <c r="W14" s="25">
        <v>50</v>
      </c>
      <c r="X14" s="25">
        <v>50</v>
      </c>
      <c r="Y14" s="25">
        <v>50</v>
      </c>
      <c r="Z14" s="25">
        <v>100</v>
      </c>
      <c r="AA14" s="25">
        <v>50</v>
      </c>
      <c r="AB14" s="25">
        <v>50</v>
      </c>
      <c r="AC14" s="25">
        <v>50</v>
      </c>
      <c r="AD14" s="25">
        <v>50</v>
      </c>
      <c r="AE14" s="25">
        <v>50</v>
      </c>
      <c r="AF14" s="25">
        <v>100</v>
      </c>
      <c r="AG14" s="25">
        <v>100</v>
      </c>
      <c r="AH14" s="25">
        <v>100</v>
      </c>
      <c r="AI14" s="25">
        <v>600</v>
      </c>
      <c r="AJ14" s="67">
        <f t="shared" si="0"/>
        <v>1450</v>
      </c>
      <c r="AK14" s="25">
        <v>100</v>
      </c>
      <c r="AL14" s="25">
        <v>240</v>
      </c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11">
        <f t="shared" si="1"/>
        <v>0</v>
      </c>
      <c r="AY14" s="25"/>
      <c r="AZ14" s="25"/>
      <c r="BA14" s="25"/>
      <c r="BB14" s="11">
        <f t="shared" si="2"/>
        <v>2700</v>
      </c>
      <c r="BE14" s="31" t="s">
        <v>141</v>
      </c>
      <c r="BF14" s="9" t="s">
        <v>157</v>
      </c>
      <c r="BG14" s="9"/>
      <c r="BH14" s="38">
        <v>50</v>
      </c>
      <c r="BI14" s="38"/>
      <c r="BJ14" s="83" t="s">
        <v>176</v>
      </c>
      <c r="BK14" s="53" t="s">
        <v>13</v>
      </c>
    </row>
    <row r="15" spans="1:63" s="31" customFormat="1" x14ac:dyDescent="0.25">
      <c r="A15" s="6">
        <v>9</v>
      </c>
      <c r="B15" s="30" t="s">
        <v>78</v>
      </c>
      <c r="C15" s="25">
        <v>50</v>
      </c>
      <c r="D15" s="25">
        <v>100</v>
      </c>
      <c r="E15" s="25">
        <v>100</v>
      </c>
      <c r="F15" s="25">
        <v>50</v>
      </c>
      <c r="G15" s="25">
        <v>50</v>
      </c>
      <c r="H15" s="25">
        <v>50</v>
      </c>
      <c r="I15" s="25">
        <v>100</v>
      </c>
      <c r="J15" s="25">
        <v>100</v>
      </c>
      <c r="K15" s="25">
        <v>50</v>
      </c>
      <c r="L15" s="25">
        <v>50</v>
      </c>
      <c r="M15" s="25">
        <v>50</v>
      </c>
      <c r="N15" s="25">
        <v>50</v>
      </c>
      <c r="O15" s="25">
        <v>50</v>
      </c>
      <c r="P15" s="25">
        <v>100</v>
      </c>
      <c r="Q15" s="25">
        <v>50</v>
      </c>
      <c r="R15" s="25">
        <v>100</v>
      </c>
      <c r="S15" s="25">
        <v>50</v>
      </c>
      <c r="T15" s="25">
        <v>100</v>
      </c>
      <c r="U15" s="67">
        <f t="shared" si="3"/>
        <v>1250</v>
      </c>
      <c r="V15" s="25">
        <v>50</v>
      </c>
      <c r="W15" s="25">
        <v>50</v>
      </c>
      <c r="X15" s="25">
        <v>50</v>
      </c>
      <c r="Y15" s="25">
        <v>50</v>
      </c>
      <c r="Z15" s="25">
        <v>100</v>
      </c>
      <c r="AA15" s="25">
        <v>50</v>
      </c>
      <c r="AB15" s="25">
        <v>50</v>
      </c>
      <c r="AC15" s="25">
        <v>50</v>
      </c>
      <c r="AD15" s="25">
        <v>50</v>
      </c>
      <c r="AE15" s="25">
        <v>50</v>
      </c>
      <c r="AF15" s="25">
        <v>100</v>
      </c>
      <c r="AG15" s="25">
        <v>100</v>
      </c>
      <c r="AH15" s="25">
        <v>100</v>
      </c>
      <c r="AI15" s="25">
        <v>600</v>
      </c>
      <c r="AJ15" s="67">
        <f>SUM(V15:AI15)</f>
        <v>1450</v>
      </c>
      <c r="AK15" s="25">
        <v>100</v>
      </c>
      <c r="AL15" s="25">
        <v>240</v>
      </c>
      <c r="AM15" s="25">
        <v>50</v>
      </c>
      <c r="AN15" s="25">
        <v>100</v>
      </c>
      <c r="AO15" s="25">
        <v>100</v>
      </c>
      <c r="AP15" s="25">
        <v>50</v>
      </c>
      <c r="AQ15" s="25">
        <v>100</v>
      </c>
      <c r="AR15" s="25">
        <v>50</v>
      </c>
      <c r="AS15" s="25">
        <v>50</v>
      </c>
      <c r="AT15" s="25">
        <v>50</v>
      </c>
      <c r="AU15" s="25">
        <v>50</v>
      </c>
      <c r="AV15" s="25">
        <v>100</v>
      </c>
      <c r="AW15" s="25"/>
      <c r="AX15" s="11">
        <f t="shared" si="1"/>
        <v>700</v>
      </c>
      <c r="AY15" s="25"/>
      <c r="AZ15" s="25"/>
      <c r="BA15" s="25"/>
      <c r="BB15" s="11">
        <f t="shared" si="2"/>
        <v>2700</v>
      </c>
      <c r="BE15" s="40" t="s">
        <v>142</v>
      </c>
      <c r="BF15" s="40"/>
      <c r="BG15" s="40"/>
      <c r="BH15" s="41">
        <v>200</v>
      </c>
      <c r="BI15" s="42">
        <f>SUM(BH8:BH15)</f>
        <v>600</v>
      </c>
      <c r="BJ15" s="83"/>
      <c r="BK15" s="53"/>
    </row>
    <row r="16" spans="1:63" s="31" customFormat="1" x14ac:dyDescent="0.25">
      <c r="A16" s="6">
        <v>10</v>
      </c>
      <c r="B16" s="30" t="s">
        <v>80</v>
      </c>
      <c r="C16" s="25">
        <v>50</v>
      </c>
      <c r="D16" s="25">
        <v>100</v>
      </c>
      <c r="E16" s="25">
        <v>100</v>
      </c>
      <c r="F16" s="25">
        <v>50</v>
      </c>
      <c r="G16" s="25">
        <v>50</v>
      </c>
      <c r="H16" s="25">
        <v>50</v>
      </c>
      <c r="I16" s="25">
        <v>100</v>
      </c>
      <c r="J16" s="25">
        <v>100</v>
      </c>
      <c r="K16" s="25">
        <v>50</v>
      </c>
      <c r="L16" s="25">
        <v>50</v>
      </c>
      <c r="M16" s="25">
        <v>50</v>
      </c>
      <c r="N16" s="25">
        <v>50</v>
      </c>
      <c r="O16" s="25">
        <v>50</v>
      </c>
      <c r="P16" s="25">
        <v>100</v>
      </c>
      <c r="Q16" s="25">
        <v>50</v>
      </c>
      <c r="R16" s="25">
        <v>100</v>
      </c>
      <c r="S16" s="25">
        <v>50</v>
      </c>
      <c r="T16" s="25">
        <v>100</v>
      </c>
      <c r="U16" s="67">
        <f t="shared" si="3"/>
        <v>1250</v>
      </c>
      <c r="V16" s="25">
        <v>50</v>
      </c>
      <c r="W16" s="25">
        <v>50</v>
      </c>
      <c r="X16" s="25">
        <v>50</v>
      </c>
      <c r="Y16" s="25">
        <v>50</v>
      </c>
      <c r="Z16" s="25">
        <v>100</v>
      </c>
      <c r="AA16" s="25">
        <v>50</v>
      </c>
      <c r="AB16" s="25">
        <v>50</v>
      </c>
      <c r="AC16" s="25">
        <v>50</v>
      </c>
      <c r="AD16" s="25">
        <v>50</v>
      </c>
      <c r="AE16" s="25">
        <v>50</v>
      </c>
      <c r="AF16" s="25">
        <v>100</v>
      </c>
      <c r="AG16" s="25">
        <v>100</v>
      </c>
      <c r="AH16" s="25">
        <v>100</v>
      </c>
      <c r="AI16" s="25">
        <v>600</v>
      </c>
      <c r="AJ16" s="67">
        <f>SUM(V16:AI16)</f>
        <v>1450</v>
      </c>
      <c r="AK16" s="25">
        <v>100</v>
      </c>
      <c r="AL16" s="25">
        <v>240</v>
      </c>
      <c r="AM16" s="25">
        <v>50</v>
      </c>
      <c r="AN16" s="25">
        <v>100</v>
      </c>
      <c r="AO16" s="25">
        <v>100</v>
      </c>
      <c r="AP16" s="25">
        <v>50</v>
      </c>
      <c r="AQ16" s="25">
        <v>100</v>
      </c>
      <c r="AR16" s="25">
        <v>50</v>
      </c>
      <c r="AS16" s="25">
        <v>50</v>
      </c>
      <c r="AT16" s="25">
        <v>50</v>
      </c>
      <c r="AU16" s="25">
        <v>50</v>
      </c>
      <c r="AV16" s="25">
        <v>100</v>
      </c>
      <c r="AW16" s="25"/>
      <c r="AX16" s="11">
        <f t="shared" si="1"/>
        <v>700</v>
      </c>
      <c r="AY16" s="25"/>
      <c r="AZ16" s="25"/>
      <c r="BA16" s="25"/>
      <c r="BB16" s="11">
        <f t="shared" si="2"/>
        <v>2700</v>
      </c>
      <c r="BH16" s="38"/>
      <c r="BI16" s="38"/>
      <c r="BJ16" s="83"/>
      <c r="BK16" s="53"/>
    </row>
    <row r="17" spans="1:63" s="31" customFormat="1" x14ac:dyDescent="0.25">
      <c r="A17" s="6">
        <v>11</v>
      </c>
      <c r="B17" s="30" t="s">
        <v>26</v>
      </c>
      <c r="C17" s="25">
        <v>50</v>
      </c>
      <c r="D17" s="25">
        <v>100</v>
      </c>
      <c r="E17" s="25">
        <v>100</v>
      </c>
      <c r="F17" s="25">
        <v>50</v>
      </c>
      <c r="G17" s="25">
        <v>50</v>
      </c>
      <c r="H17" s="25">
        <v>50</v>
      </c>
      <c r="I17" s="25">
        <v>100</v>
      </c>
      <c r="J17" s="25">
        <v>100</v>
      </c>
      <c r="K17" s="25">
        <v>50</v>
      </c>
      <c r="L17" s="25">
        <v>50</v>
      </c>
      <c r="M17" s="25">
        <v>50</v>
      </c>
      <c r="N17" s="25">
        <v>50</v>
      </c>
      <c r="O17" s="25">
        <v>50</v>
      </c>
      <c r="P17" s="25">
        <v>100</v>
      </c>
      <c r="Q17" s="25">
        <v>50</v>
      </c>
      <c r="R17" s="25">
        <v>100</v>
      </c>
      <c r="S17" s="25">
        <v>50</v>
      </c>
      <c r="T17" s="25">
        <v>100</v>
      </c>
      <c r="U17" s="67">
        <f t="shared" si="3"/>
        <v>1250</v>
      </c>
      <c r="V17" s="25">
        <v>50</v>
      </c>
      <c r="W17" s="25">
        <v>50</v>
      </c>
      <c r="X17" s="25">
        <v>50</v>
      </c>
      <c r="Y17" s="25">
        <v>50</v>
      </c>
      <c r="Z17" s="25">
        <v>100</v>
      </c>
      <c r="AA17" s="25">
        <v>50</v>
      </c>
      <c r="AB17" s="25">
        <v>50</v>
      </c>
      <c r="AC17" s="25">
        <v>50</v>
      </c>
      <c r="AD17" s="25">
        <v>50</v>
      </c>
      <c r="AE17" s="25">
        <v>50</v>
      </c>
      <c r="AF17" s="25">
        <v>100</v>
      </c>
      <c r="AG17" s="25">
        <v>100</v>
      </c>
      <c r="AH17" s="25">
        <v>100</v>
      </c>
      <c r="AI17" s="25">
        <v>600</v>
      </c>
      <c r="AJ17" s="67">
        <f t="shared" si="0"/>
        <v>1450</v>
      </c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11">
        <f t="shared" si="1"/>
        <v>0</v>
      </c>
      <c r="AY17" s="25"/>
      <c r="AZ17" s="25"/>
      <c r="BA17" s="25"/>
      <c r="BB17" s="11">
        <f t="shared" si="2"/>
        <v>2700</v>
      </c>
      <c r="BD17" s="31" t="s">
        <v>155</v>
      </c>
      <c r="BE17" s="31" t="s">
        <v>143</v>
      </c>
      <c r="BF17" s="9" t="s">
        <v>157</v>
      </c>
      <c r="BG17" s="9"/>
      <c r="BH17" s="38">
        <v>50</v>
      </c>
      <c r="BI17" s="38"/>
      <c r="BJ17" s="83" t="s">
        <v>176</v>
      </c>
      <c r="BK17" s="53" t="s">
        <v>7</v>
      </c>
    </row>
    <row r="18" spans="1:63" s="31" customFormat="1" x14ac:dyDescent="0.25">
      <c r="A18" s="6">
        <v>12</v>
      </c>
      <c r="B18" s="30" t="s">
        <v>27</v>
      </c>
      <c r="C18" s="25">
        <v>50</v>
      </c>
      <c r="D18" s="25">
        <v>100</v>
      </c>
      <c r="E18" s="25">
        <v>100</v>
      </c>
      <c r="F18" s="25">
        <v>50</v>
      </c>
      <c r="G18" s="25">
        <v>50</v>
      </c>
      <c r="H18" s="25">
        <v>50</v>
      </c>
      <c r="I18" s="25">
        <v>100</v>
      </c>
      <c r="J18" s="25">
        <v>100</v>
      </c>
      <c r="K18" s="25">
        <v>50</v>
      </c>
      <c r="L18" s="25">
        <v>50</v>
      </c>
      <c r="M18" s="25">
        <v>50</v>
      </c>
      <c r="N18" s="25">
        <v>50</v>
      </c>
      <c r="O18" s="25">
        <v>50</v>
      </c>
      <c r="P18" s="25">
        <v>100</v>
      </c>
      <c r="Q18" s="25">
        <v>50</v>
      </c>
      <c r="R18" s="25">
        <v>100</v>
      </c>
      <c r="S18" s="25">
        <v>50</v>
      </c>
      <c r="T18" s="25">
        <v>100</v>
      </c>
      <c r="U18" s="67">
        <f t="shared" si="3"/>
        <v>1250</v>
      </c>
      <c r="V18" s="25">
        <v>50</v>
      </c>
      <c r="W18" s="25">
        <v>50</v>
      </c>
      <c r="X18" s="25">
        <v>50</v>
      </c>
      <c r="Y18" s="25">
        <v>50</v>
      </c>
      <c r="Z18" s="25">
        <v>100</v>
      </c>
      <c r="AA18" s="25">
        <v>50</v>
      </c>
      <c r="AB18" s="25">
        <v>50</v>
      </c>
      <c r="AC18" s="25">
        <v>50</v>
      </c>
      <c r="AD18" s="25">
        <v>50</v>
      </c>
      <c r="AE18" s="25">
        <v>50</v>
      </c>
      <c r="AF18" s="25">
        <v>100</v>
      </c>
      <c r="AG18" s="25">
        <v>100</v>
      </c>
      <c r="AH18" s="25">
        <v>100</v>
      </c>
      <c r="AI18" s="25">
        <v>600</v>
      </c>
      <c r="AJ18" s="67">
        <f t="shared" si="0"/>
        <v>1450</v>
      </c>
      <c r="AK18" s="25">
        <v>100</v>
      </c>
      <c r="AL18" s="25">
        <v>240</v>
      </c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11">
        <f t="shared" si="1"/>
        <v>0</v>
      </c>
      <c r="AY18" s="25"/>
      <c r="AZ18" s="25"/>
      <c r="BA18" s="25"/>
      <c r="BB18" s="11">
        <f t="shared" si="2"/>
        <v>2700</v>
      </c>
      <c r="BE18" s="31" t="s">
        <v>144</v>
      </c>
      <c r="BF18" s="9" t="s">
        <v>157</v>
      </c>
      <c r="BG18" s="9"/>
      <c r="BH18" s="38">
        <v>50</v>
      </c>
      <c r="BI18" s="38"/>
      <c r="BJ18" s="83" t="s">
        <v>176</v>
      </c>
      <c r="BK18" s="53" t="s">
        <v>7</v>
      </c>
    </row>
    <row r="19" spans="1:63" s="31" customFormat="1" x14ac:dyDescent="0.25">
      <c r="A19" s="6">
        <v>13</v>
      </c>
      <c r="B19" s="30" t="s">
        <v>29</v>
      </c>
      <c r="C19" s="25">
        <v>50</v>
      </c>
      <c r="D19" s="25">
        <v>100</v>
      </c>
      <c r="E19" s="25">
        <v>100</v>
      </c>
      <c r="F19" s="25">
        <v>50</v>
      </c>
      <c r="G19" s="25">
        <v>50</v>
      </c>
      <c r="H19" s="25">
        <v>50</v>
      </c>
      <c r="I19" s="25">
        <v>100</v>
      </c>
      <c r="J19" s="25">
        <v>100</v>
      </c>
      <c r="K19" s="25">
        <v>50</v>
      </c>
      <c r="L19" s="25">
        <v>50</v>
      </c>
      <c r="M19" s="25">
        <v>50</v>
      </c>
      <c r="N19" s="25">
        <v>50</v>
      </c>
      <c r="O19" s="25">
        <v>50</v>
      </c>
      <c r="P19" s="25">
        <v>100</v>
      </c>
      <c r="Q19" s="25">
        <v>50</v>
      </c>
      <c r="R19" s="25">
        <v>100</v>
      </c>
      <c r="S19" s="25">
        <v>50</v>
      </c>
      <c r="T19" s="25">
        <v>100</v>
      </c>
      <c r="U19" s="67">
        <f t="shared" si="3"/>
        <v>1250</v>
      </c>
      <c r="V19" s="25">
        <v>50</v>
      </c>
      <c r="W19" s="25">
        <v>50</v>
      </c>
      <c r="X19" s="25">
        <v>50</v>
      </c>
      <c r="Y19" s="25">
        <v>50</v>
      </c>
      <c r="Z19" s="25">
        <v>100</v>
      </c>
      <c r="AA19" s="25">
        <v>50</v>
      </c>
      <c r="AB19" s="25">
        <v>50</v>
      </c>
      <c r="AC19" s="25">
        <v>50</v>
      </c>
      <c r="AD19" s="25">
        <v>50</v>
      </c>
      <c r="AE19" s="25">
        <v>50</v>
      </c>
      <c r="AF19" s="25">
        <v>100</v>
      </c>
      <c r="AG19" s="25">
        <v>100</v>
      </c>
      <c r="AH19" s="25">
        <v>100</v>
      </c>
      <c r="AI19" s="25">
        <v>600</v>
      </c>
      <c r="AJ19" s="67">
        <f t="shared" si="0"/>
        <v>1450</v>
      </c>
      <c r="AK19" s="25">
        <v>100</v>
      </c>
      <c r="AL19" s="25">
        <v>240</v>
      </c>
      <c r="AM19" s="25">
        <v>50</v>
      </c>
      <c r="AN19" s="25">
        <v>100</v>
      </c>
      <c r="AO19" s="25">
        <v>100</v>
      </c>
      <c r="AP19" s="25">
        <v>50</v>
      </c>
      <c r="AQ19" s="25">
        <v>100</v>
      </c>
      <c r="AR19" s="25">
        <v>50</v>
      </c>
      <c r="AS19" s="25">
        <v>50</v>
      </c>
      <c r="AT19" s="25">
        <v>50</v>
      </c>
      <c r="AU19" s="25">
        <v>50</v>
      </c>
      <c r="AV19" s="25">
        <v>100</v>
      </c>
      <c r="AW19" s="25"/>
      <c r="AX19" s="11">
        <f t="shared" si="1"/>
        <v>700</v>
      </c>
      <c r="AY19" s="25"/>
      <c r="AZ19" s="25"/>
      <c r="BA19" s="25"/>
      <c r="BB19" s="11">
        <f t="shared" si="2"/>
        <v>2700</v>
      </c>
      <c r="BE19" s="31" t="s">
        <v>145</v>
      </c>
      <c r="BF19" s="9" t="s">
        <v>157</v>
      </c>
      <c r="BG19" s="9"/>
      <c r="BH19" s="38">
        <v>50</v>
      </c>
      <c r="BI19" s="38"/>
      <c r="BJ19" s="83" t="s">
        <v>176</v>
      </c>
      <c r="BK19" s="53" t="s">
        <v>7</v>
      </c>
    </row>
    <row r="20" spans="1:63" s="31" customFormat="1" x14ac:dyDescent="0.25">
      <c r="A20" s="6">
        <v>14</v>
      </c>
      <c r="B20" s="30" t="s">
        <v>30</v>
      </c>
      <c r="C20" s="25">
        <v>50</v>
      </c>
      <c r="D20" s="25">
        <v>100</v>
      </c>
      <c r="E20" s="25">
        <v>100</v>
      </c>
      <c r="F20" s="25">
        <v>50</v>
      </c>
      <c r="G20" s="25">
        <v>50</v>
      </c>
      <c r="H20" s="25">
        <v>50</v>
      </c>
      <c r="I20" s="25">
        <v>100</v>
      </c>
      <c r="J20" s="25">
        <v>100</v>
      </c>
      <c r="K20" s="25">
        <v>50</v>
      </c>
      <c r="L20" s="25">
        <v>50</v>
      </c>
      <c r="M20" s="25">
        <v>50</v>
      </c>
      <c r="N20" s="25">
        <v>50</v>
      </c>
      <c r="O20" s="25">
        <v>50</v>
      </c>
      <c r="P20" s="25">
        <v>100</v>
      </c>
      <c r="Q20" s="25">
        <v>50</v>
      </c>
      <c r="R20" s="25">
        <v>100</v>
      </c>
      <c r="S20" s="25">
        <v>50</v>
      </c>
      <c r="T20" s="25">
        <v>100</v>
      </c>
      <c r="U20" s="67">
        <f t="shared" si="3"/>
        <v>1250</v>
      </c>
      <c r="V20" s="25">
        <v>50</v>
      </c>
      <c r="W20" s="25">
        <v>50</v>
      </c>
      <c r="X20" s="25">
        <v>50</v>
      </c>
      <c r="Y20" s="25">
        <v>50</v>
      </c>
      <c r="Z20" s="25">
        <v>100</v>
      </c>
      <c r="AA20" s="25">
        <v>50</v>
      </c>
      <c r="AB20" s="25">
        <v>50</v>
      </c>
      <c r="AC20" s="25">
        <v>50</v>
      </c>
      <c r="AD20" s="25">
        <v>50</v>
      </c>
      <c r="AE20" s="25">
        <v>50</v>
      </c>
      <c r="AF20" s="25">
        <v>100</v>
      </c>
      <c r="AG20" s="25">
        <v>100</v>
      </c>
      <c r="AH20" s="25">
        <v>100</v>
      </c>
      <c r="AI20" s="64">
        <v>400</v>
      </c>
      <c r="AJ20" s="67">
        <f t="shared" si="0"/>
        <v>1250</v>
      </c>
      <c r="AK20" s="25">
        <v>100</v>
      </c>
      <c r="AL20" s="25">
        <v>240</v>
      </c>
      <c r="AM20" s="25">
        <v>50</v>
      </c>
      <c r="AN20" s="25">
        <v>100</v>
      </c>
      <c r="AO20" s="25">
        <v>100</v>
      </c>
      <c r="AP20" s="25">
        <v>50</v>
      </c>
      <c r="AQ20" s="25">
        <v>100</v>
      </c>
      <c r="AR20" s="25">
        <v>50</v>
      </c>
      <c r="AS20" s="25">
        <v>50</v>
      </c>
      <c r="AT20" s="25">
        <v>50</v>
      </c>
      <c r="AU20" s="25">
        <v>50</v>
      </c>
      <c r="AV20" s="25">
        <v>100</v>
      </c>
      <c r="AW20" s="25"/>
      <c r="AX20" s="11">
        <f t="shared" si="1"/>
        <v>700</v>
      </c>
      <c r="AY20" s="25"/>
      <c r="AZ20" s="25"/>
      <c r="BA20" s="25"/>
      <c r="BB20" s="11">
        <f t="shared" si="2"/>
        <v>2500</v>
      </c>
      <c r="BE20" s="31" t="s">
        <v>146</v>
      </c>
      <c r="BF20" s="9" t="s">
        <v>157</v>
      </c>
      <c r="BG20" s="9"/>
      <c r="BH20" s="38">
        <v>50</v>
      </c>
      <c r="BI20" s="38"/>
      <c r="BJ20" s="83" t="s">
        <v>176</v>
      </c>
      <c r="BK20" s="53" t="s">
        <v>7</v>
      </c>
    </row>
    <row r="21" spans="1:63" s="31" customFormat="1" x14ac:dyDescent="0.25">
      <c r="A21" s="6">
        <v>15</v>
      </c>
      <c r="B21" s="30" t="s">
        <v>293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67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64"/>
      <c r="AJ21" s="67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11"/>
      <c r="AY21" s="25"/>
      <c r="AZ21" s="25"/>
      <c r="BA21" s="25"/>
      <c r="BB21" s="11"/>
      <c r="BF21" s="9"/>
      <c r="BG21" s="9"/>
      <c r="BH21" s="38"/>
      <c r="BI21" s="38"/>
      <c r="BJ21" s="83"/>
      <c r="BK21" s="53"/>
    </row>
    <row r="22" spans="1:63" s="31" customFormat="1" x14ac:dyDescent="0.25">
      <c r="A22" s="6">
        <v>16</v>
      </c>
      <c r="B22" s="30" t="s">
        <v>31</v>
      </c>
      <c r="C22" s="25">
        <v>50</v>
      </c>
      <c r="D22" s="25">
        <v>100</v>
      </c>
      <c r="E22" s="25">
        <v>100</v>
      </c>
      <c r="F22" s="25">
        <v>50</v>
      </c>
      <c r="G22" s="25">
        <v>50</v>
      </c>
      <c r="H22" s="25">
        <v>50</v>
      </c>
      <c r="I22" s="25">
        <v>100</v>
      </c>
      <c r="J22" s="25">
        <v>100</v>
      </c>
      <c r="K22" s="25">
        <v>50</v>
      </c>
      <c r="L22" s="25">
        <v>50</v>
      </c>
      <c r="M22" s="25">
        <v>50</v>
      </c>
      <c r="N22" s="25">
        <v>50</v>
      </c>
      <c r="O22" s="25">
        <v>50</v>
      </c>
      <c r="P22" s="25">
        <v>100</v>
      </c>
      <c r="Q22" s="25">
        <v>50</v>
      </c>
      <c r="R22" s="25">
        <v>100</v>
      </c>
      <c r="S22" s="25">
        <v>50</v>
      </c>
      <c r="T22" s="25">
        <v>100</v>
      </c>
      <c r="U22" s="67">
        <f t="shared" si="3"/>
        <v>1250</v>
      </c>
      <c r="V22" s="25">
        <v>50</v>
      </c>
      <c r="W22" s="25">
        <v>50</v>
      </c>
      <c r="X22" s="25">
        <v>50</v>
      </c>
      <c r="Y22" s="25">
        <v>50</v>
      </c>
      <c r="Z22" s="25">
        <v>100</v>
      </c>
      <c r="AA22" s="25">
        <v>50</v>
      </c>
      <c r="AB22" s="25">
        <v>50</v>
      </c>
      <c r="AC22" s="25">
        <v>50</v>
      </c>
      <c r="AD22" s="25">
        <v>50</v>
      </c>
      <c r="AE22" s="25">
        <v>50</v>
      </c>
      <c r="AF22" s="25">
        <v>100</v>
      </c>
      <c r="AG22" s="25">
        <v>100</v>
      </c>
      <c r="AH22" s="25">
        <v>100</v>
      </c>
      <c r="AI22" s="25">
        <v>600</v>
      </c>
      <c r="AJ22" s="67">
        <f t="shared" si="0"/>
        <v>1450</v>
      </c>
      <c r="AK22" s="25">
        <v>100</v>
      </c>
      <c r="AL22" s="25">
        <v>240</v>
      </c>
      <c r="AM22" s="25">
        <v>50</v>
      </c>
      <c r="AN22" s="25">
        <v>100</v>
      </c>
      <c r="AO22" s="25">
        <v>100</v>
      </c>
      <c r="AP22" s="25">
        <v>50</v>
      </c>
      <c r="AQ22" s="25">
        <v>100</v>
      </c>
      <c r="AR22" s="25">
        <v>50</v>
      </c>
      <c r="AS22" s="25">
        <v>50</v>
      </c>
      <c r="AT22" s="25">
        <v>50</v>
      </c>
      <c r="AU22" s="25">
        <v>50</v>
      </c>
      <c r="AV22" s="25">
        <v>100</v>
      </c>
      <c r="AW22" s="25"/>
      <c r="AX22" s="11">
        <f t="shared" si="1"/>
        <v>700</v>
      </c>
      <c r="AY22" s="25"/>
      <c r="AZ22" s="25"/>
      <c r="BA22" s="25"/>
      <c r="BB22" s="11">
        <f t="shared" si="2"/>
        <v>2700</v>
      </c>
      <c r="BE22" s="31" t="s">
        <v>147</v>
      </c>
      <c r="BF22" s="9" t="s">
        <v>157</v>
      </c>
      <c r="BG22" s="9"/>
      <c r="BH22" s="38">
        <v>50</v>
      </c>
      <c r="BI22" s="38"/>
      <c r="BJ22" s="83" t="s">
        <v>176</v>
      </c>
      <c r="BK22" s="53" t="s">
        <v>0</v>
      </c>
    </row>
    <row r="23" spans="1:63" s="31" customFormat="1" x14ac:dyDescent="0.25">
      <c r="A23" s="6">
        <v>17</v>
      </c>
      <c r="B23" s="30" t="s">
        <v>32</v>
      </c>
      <c r="C23" s="25">
        <v>50</v>
      </c>
      <c r="D23" s="25">
        <v>100</v>
      </c>
      <c r="E23" s="25">
        <v>100</v>
      </c>
      <c r="F23" s="25">
        <v>50</v>
      </c>
      <c r="G23" s="25">
        <v>50</v>
      </c>
      <c r="H23" s="25">
        <v>50</v>
      </c>
      <c r="I23" s="25">
        <v>100</v>
      </c>
      <c r="J23" s="25">
        <v>100</v>
      </c>
      <c r="K23" s="25">
        <v>50</v>
      </c>
      <c r="L23" s="25">
        <v>50</v>
      </c>
      <c r="M23" s="25">
        <v>50</v>
      </c>
      <c r="N23" s="25">
        <v>50</v>
      </c>
      <c r="O23" s="25">
        <v>50</v>
      </c>
      <c r="P23" s="25">
        <v>100</v>
      </c>
      <c r="Q23" s="25">
        <v>50</v>
      </c>
      <c r="R23" s="25">
        <v>100</v>
      </c>
      <c r="S23" s="25">
        <v>50</v>
      </c>
      <c r="T23" s="25">
        <v>100</v>
      </c>
      <c r="U23" s="67">
        <f t="shared" si="3"/>
        <v>1250</v>
      </c>
      <c r="V23" s="25">
        <v>50</v>
      </c>
      <c r="W23" s="25">
        <v>50</v>
      </c>
      <c r="X23" s="25">
        <v>50</v>
      </c>
      <c r="Y23" s="25">
        <v>50</v>
      </c>
      <c r="Z23" s="25">
        <v>100</v>
      </c>
      <c r="AA23" s="25">
        <v>50</v>
      </c>
      <c r="AB23" s="25">
        <v>50</v>
      </c>
      <c r="AC23" s="25">
        <v>50</v>
      </c>
      <c r="AD23" s="25">
        <v>50</v>
      </c>
      <c r="AE23" s="25">
        <v>50</v>
      </c>
      <c r="AF23" s="25">
        <v>100</v>
      </c>
      <c r="AG23" s="25">
        <v>100</v>
      </c>
      <c r="AH23" s="25">
        <v>100</v>
      </c>
      <c r="AI23" s="25">
        <v>600</v>
      </c>
      <c r="AJ23" s="67">
        <f t="shared" si="0"/>
        <v>1450</v>
      </c>
      <c r="AK23" s="25">
        <v>100</v>
      </c>
      <c r="AL23" s="25">
        <v>240</v>
      </c>
      <c r="AM23" s="25">
        <v>50</v>
      </c>
      <c r="AN23" s="25">
        <v>100</v>
      </c>
      <c r="AO23" s="25">
        <v>100</v>
      </c>
      <c r="AP23" s="25">
        <v>50</v>
      </c>
      <c r="AQ23" s="25">
        <v>100</v>
      </c>
      <c r="AR23" s="25">
        <v>50</v>
      </c>
      <c r="AS23" s="25">
        <v>50</v>
      </c>
      <c r="AT23" s="25">
        <v>50</v>
      </c>
      <c r="AU23" s="25">
        <v>50</v>
      </c>
      <c r="AV23" s="25">
        <v>100</v>
      </c>
      <c r="AW23" s="25">
        <v>300</v>
      </c>
      <c r="AX23" s="11">
        <f t="shared" si="1"/>
        <v>700</v>
      </c>
      <c r="AY23" s="25"/>
      <c r="AZ23" s="25"/>
      <c r="BA23" s="25"/>
      <c r="BB23" s="11">
        <f t="shared" si="2"/>
        <v>2700</v>
      </c>
      <c r="BE23" s="40" t="s">
        <v>148</v>
      </c>
      <c r="BF23" s="40"/>
      <c r="BG23" s="40"/>
      <c r="BH23" s="41">
        <v>200</v>
      </c>
      <c r="BI23" s="42">
        <f>SUM(BH17:BH23)</f>
        <v>450</v>
      </c>
      <c r="BJ23" s="83"/>
      <c r="BK23" s="53"/>
    </row>
    <row r="24" spans="1:63" s="31" customFormat="1" x14ac:dyDescent="0.25">
      <c r="A24" s="6">
        <v>18</v>
      </c>
      <c r="B24" s="1" t="s">
        <v>230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9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2">
        <v>240</v>
      </c>
      <c r="AL24" s="2">
        <v>200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11">
        <f t="shared" si="1"/>
        <v>0</v>
      </c>
      <c r="AY24" s="2"/>
      <c r="AZ24" s="2"/>
      <c r="BA24" s="2"/>
      <c r="BB24" s="2"/>
      <c r="BH24" s="38"/>
      <c r="BI24" s="38"/>
      <c r="BJ24" s="83"/>
      <c r="BK24" s="53"/>
    </row>
    <row r="25" spans="1:63" s="31" customFormat="1" x14ac:dyDescent="0.25">
      <c r="A25" s="6">
        <v>19</v>
      </c>
      <c r="B25" s="32" t="s">
        <v>34</v>
      </c>
      <c r="C25" s="25">
        <v>50</v>
      </c>
      <c r="D25" s="25">
        <v>100</v>
      </c>
      <c r="E25" s="25">
        <v>100</v>
      </c>
      <c r="F25" s="25">
        <v>50</v>
      </c>
      <c r="G25" s="25">
        <v>50</v>
      </c>
      <c r="H25" s="25">
        <v>50</v>
      </c>
      <c r="I25" s="25">
        <v>100</v>
      </c>
      <c r="J25" s="25">
        <v>100</v>
      </c>
      <c r="K25" s="25">
        <v>50</v>
      </c>
      <c r="L25" s="25">
        <v>50</v>
      </c>
      <c r="M25" s="25">
        <v>50</v>
      </c>
      <c r="N25" s="25">
        <v>50</v>
      </c>
      <c r="O25" s="25">
        <v>50</v>
      </c>
      <c r="P25" s="25">
        <v>100</v>
      </c>
      <c r="Q25" s="25">
        <v>50</v>
      </c>
      <c r="R25" s="25">
        <v>100</v>
      </c>
      <c r="S25" s="25">
        <v>50</v>
      </c>
      <c r="T25" s="25">
        <v>100</v>
      </c>
      <c r="U25" s="67">
        <f t="shared" si="3"/>
        <v>1250</v>
      </c>
      <c r="V25" s="25">
        <v>50</v>
      </c>
      <c r="W25" s="25">
        <v>50</v>
      </c>
      <c r="X25" s="25">
        <v>50</v>
      </c>
      <c r="Y25" s="25">
        <v>50</v>
      </c>
      <c r="Z25" s="25">
        <v>100</v>
      </c>
      <c r="AA25" s="25">
        <v>50</v>
      </c>
      <c r="AB25" s="25">
        <v>50</v>
      </c>
      <c r="AC25" s="25">
        <v>50</v>
      </c>
      <c r="AD25" s="25">
        <v>50</v>
      </c>
      <c r="AE25" s="25">
        <v>50</v>
      </c>
      <c r="AF25" s="25">
        <v>100</v>
      </c>
      <c r="AG25" s="25">
        <v>100</v>
      </c>
      <c r="AH25" s="25">
        <v>100</v>
      </c>
      <c r="AI25" s="25">
        <v>600</v>
      </c>
      <c r="AJ25" s="67">
        <f t="shared" si="0"/>
        <v>1450</v>
      </c>
      <c r="AK25" s="25">
        <v>100</v>
      </c>
      <c r="AL25" s="25">
        <v>240</v>
      </c>
      <c r="AM25" s="2">
        <v>50</v>
      </c>
      <c r="AN25" s="2">
        <v>100</v>
      </c>
      <c r="AO25" s="2">
        <v>100</v>
      </c>
      <c r="AP25" s="2">
        <v>50</v>
      </c>
      <c r="AQ25" s="2">
        <v>100</v>
      </c>
      <c r="AR25" s="2">
        <v>50</v>
      </c>
      <c r="AS25" s="2">
        <v>50</v>
      </c>
      <c r="AT25" s="2">
        <v>50</v>
      </c>
      <c r="AU25" s="2">
        <v>50</v>
      </c>
      <c r="AV25" s="2">
        <v>100</v>
      </c>
      <c r="AW25" s="25"/>
      <c r="AX25" s="11">
        <f t="shared" si="1"/>
        <v>700</v>
      </c>
      <c r="AY25" s="25"/>
      <c r="AZ25" s="25"/>
      <c r="BA25" s="25"/>
      <c r="BB25" s="11">
        <f t="shared" ref="BB25:BB29" si="5">SUM(U25,AJ25)</f>
        <v>2700</v>
      </c>
      <c r="BD25" s="31" t="s">
        <v>153</v>
      </c>
      <c r="BE25" s="40" t="s">
        <v>151</v>
      </c>
      <c r="BF25" s="40" t="s">
        <v>157</v>
      </c>
      <c r="BG25" s="40"/>
      <c r="BH25" s="41">
        <v>50</v>
      </c>
      <c r="BI25" s="42">
        <v>50</v>
      </c>
      <c r="BJ25" s="83" t="s">
        <v>176</v>
      </c>
      <c r="BK25" s="53" t="s">
        <v>0</v>
      </c>
    </row>
    <row r="26" spans="1:63" s="31" customFormat="1" x14ac:dyDescent="0.25">
      <c r="A26" s="6">
        <v>20</v>
      </c>
      <c r="B26" s="32" t="s">
        <v>35</v>
      </c>
      <c r="C26" s="25">
        <v>50</v>
      </c>
      <c r="D26" s="25">
        <v>100</v>
      </c>
      <c r="E26" s="25">
        <v>100</v>
      </c>
      <c r="F26" s="25">
        <v>50</v>
      </c>
      <c r="G26" s="25">
        <v>50</v>
      </c>
      <c r="H26" s="25">
        <v>50</v>
      </c>
      <c r="I26" s="25">
        <v>100</v>
      </c>
      <c r="J26" s="25">
        <v>100</v>
      </c>
      <c r="K26" s="25">
        <v>50</v>
      </c>
      <c r="L26" s="25">
        <v>50</v>
      </c>
      <c r="M26" s="25">
        <v>50</v>
      </c>
      <c r="N26" s="25">
        <v>50</v>
      </c>
      <c r="O26" s="25">
        <v>50</v>
      </c>
      <c r="P26" s="25">
        <v>100</v>
      </c>
      <c r="Q26" s="25">
        <v>50</v>
      </c>
      <c r="R26" s="25">
        <v>100</v>
      </c>
      <c r="S26" s="25">
        <v>50</v>
      </c>
      <c r="T26" s="25">
        <v>100</v>
      </c>
      <c r="U26" s="67">
        <f t="shared" si="3"/>
        <v>1250</v>
      </c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67">
        <f t="shared" si="0"/>
        <v>0</v>
      </c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11">
        <f t="shared" si="1"/>
        <v>0</v>
      </c>
      <c r="AY26" s="25"/>
      <c r="AZ26" s="25"/>
      <c r="BA26" s="25"/>
      <c r="BB26" s="11">
        <f t="shared" si="5"/>
        <v>1250</v>
      </c>
      <c r="BH26" s="38"/>
      <c r="BI26" s="38"/>
      <c r="BK26" s="53"/>
    </row>
    <row r="27" spans="1:63" s="31" customFormat="1" x14ac:dyDescent="0.25">
      <c r="A27" s="6">
        <v>21</v>
      </c>
      <c r="B27" s="32" t="s">
        <v>36</v>
      </c>
      <c r="C27" s="25">
        <v>50</v>
      </c>
      <c r="D27" s="25">
        <v>100</v>
      </c>
      <c r="E27" s="25">
        <v>100</v>
      </c>
      <c r="F27" s="25">
        <v>50</v>
      </c>
      <c r="G27" s="25">
        <v>50</v>
      </c>
      <c r="H27" s="25">
        <v>50</v>
      </c>
      <c r="I27" s="25">
        <v>100</v>
      </c>
      <c r="J27" s="25">
        <v>100</v>
      </c>
      <c r="K27" s="25">
        <v>50</v>
      </c>
      <c r="L27" s="25">
        <v>50</v>
      </c>
      <c r="M27" s="25">
        <v>50</v>
      </c>
      <c r="N27" s="25">
        <v>50</v>
      </c>
      <c r="O27" s="25">
        <v>50</v>
      </c>
      <c r="P27" s="25">
        <v>100</v>
      </c>
      <c r="Q27" s="25">
        <v>50</v>
      </c>
      <c r="R27" s="25">
        <v>100</v>
      </c>
      <c r="S27" s="25">
        <v>50</v>
      </c>
      <c r="T27" s="25">
        <v>100</v>
      </c>
      <c r="U27" s="67">
        <f t="shared" si="3"/>
        <v>1250</v>
      </c>
      <c r="V27" s="25">
        <v>50</v>
      </c>
      <c r="W27" s="25">
        <v>50</v>
      </c>
      <c r="X27" s="25">
        <v>50</v>
      </c>
      <c r="Y27" s="25">
        <v>50</v>
      </c>
      <c r="Z27" s="25">
        <v>100</v>
      </c>
      <c r="AA27" s="25">
        <v>50</v>
      </c>
      <c r="AB27" s="25">
        <v>50</v>
      </c>
      <c r="AC27" s="25">
        <v>50</v>
      </c>
      <c r="AD27" s="25">
        <v>50</v>
      </c>
      <c r="AE27" s="25">
        <v>50</v>
      </c>
      <c r="AF27" s="25">
        <v>100</v>
      </c>
      <c r="AG27" s="25">
        <v>100</v>
      </c>
      <c r="AH27" s="25">
        <v>100</v>
      </c>
      <c r="AI27" s="25">
        <v>600</v>
      </c>
      <c r="AJ27" s="67">
        <f t="shared" si="0"/>
        <v>1450</v>
      </c>
      <c r="AK27" s="25">
        <v>100</v>
      </c>
      <c r="AL27" s="25">
        <v>240</v>
      </c>
      <c r="AM27" s="2">
        <v>50</v>
      </c>
      <c r="AN27" s="2">
        <v>100</v>
      </c>
      <c r="AO27" s="2">
        <v>100</v>
      </c>
      <c r="AP27" s="2">
        <v>50</v>
      </c>
      <c r="AQ27" s="2">
        <v>100</v>
      </c>
      <c r="AR27" s="2">
        <v>50</v>
      </c>
      <c r="AS27" s="2">
        <v>50</v>
      </c>
      <c r="AT27" s="2">
        <v>50</v>
      </c>
      <c r="AU27" s="2">
        <v>50</v>
      </c>
      <c r="AV27" s="2">
        <v>100</v>
      </c>
      <c r="AW27" s="25"/>
      <c r="AX27" s="11">
        <f t="shared" si="1"/>
        <v>700</v>
      </c>
      <c r="AY27" s="25"/>
      <c r="AZ27" s="25"/>
      <c r="BA27" s="25"/>
      <c r="BB27" s="11">
        <f t="shared" si="5"/>
        <v>2700</v>
      </c>
      <c r="BD27" s="31" t="s">
        <v>154</v>
      </c>
      <c r="BE27" s="31" t="s">
        <v>149</v>
      </c>
      <c r="BF27" s="31" t="s">
        <v>157</v>
      </c>
      <c r="BH27" s="38">
        <v>50</v>
      </c>
      <c r="BI27" s="38"/>
      <c r="BK27" s="53"/>
    </row>
    <row r="28" spans="1:63" s="31" customFormat="1" x14ac:dyDescent="0.25">
      <c r="A28" s="6">
        <v>22</v>
      </c>
      <c r="B28" s="30" t="s">
        <v>37</v>
      </c>
      <c r="C28" s="25">
        <v>50</v>
      </c>
      <c r="D28" s="25">
        <v>100</v>
      </c>
      <c r="E28" s="25">
        <v>100</v>
      </c>
      <c r="F28" s="25">
        <v>50</v>
      </c>
      <c r="G28" s="25">
        <v>50</v>
      </c>
      <c r="H28" s="25">
        <v>50</v>
      </c>
      <c r="I28" s="25">
        <v>100</v>
      </c>
      <c r="J28" s="25">
        <v>100</v>
      </c>
      <c r="K28" s="25">
        <v>50</v>
      </c>
      <c r="L28" s="25">
        <v>50</v>
      </c>
      <c r="M28" s="25">
        <v>50</v>
      </c>
      <c r="N28" s="25">
        <v>50</v>
      </c>
      <c r="O28" s="25">
        <v>50</v>
      </c>
      <c r="P28" s="25">
        <v>100</v>
      </c>
      <c r="Q28" s="25">
        <v>50</v>
      </c>
      <c r="R28" s="25">
        <v>100</v>
      </c>
      <c r="S28" s="25">
        <v>50</v>
      </c>
      <c r="T28" s="25">
        <v>100</v>
      </c>
      <c r="U28" s="67">
        <f t="shared" si="3"/>
        <v>1250</v>
      </c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67">
        <f t="shared" si="0"/>
        <v>0</v>
      </c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11">
        <f t="shared" si="1"/>
        <v>0</v>
      </c>
      <c r="AY28" s="25"/>
      <c r="AZ28" s="25"/>
      <c r="BA28" s="25"/>
      <c r="BB28" s="11">
        <f t="shared" si="5"/>
        <v>1250</v>
      </c>
      <c r="BE28" s="40" t="s">
        <v>150</v>
      </c>
      <c r="BF28" s="40"/>
      <c r="BG28" s="40"/>
      <c r="BH28" s="41">
        <v>100</v>
      </c>
      <c r="BI28" s="42">
        <f>SUM(BH27:BH28)</f>
        <v>150</v>
      </c>
      <c r="BK28" s="53"/>
    </row>
    <row r="29" spans="1:63" s="31" customFormat="1" x14ac:dyDescent="0.25">
      <c r="A29" s="6">
        <v>23</v>
      </c>
      <c r="B29" s="30" t="s">
        <v>38</v>
      </c>
      <c r="C29" s="25">
        <v>50</v>
      </c>
      <c r="D29" s="25">
        <v>100</v>
      </c>
      <c r="E29" s="25">
        <v>100</v>
      </c>
      <c r="F29" s="25">
        <v>50</v>
      </c>
      <c r="G29" s="25">
        <v>50</v>
      </c>
      <c r="H29" s="25">
        <v>50</v>
      </c>
      <c r="I29" s="25">
        <v>100</v>
      </c>
      <c r="J29" s="25">
        <v>100</v>
      </c>
      <c r="K29" s="25">
        <v>50</v>
      </c>
      <c r="L29" s="25">
        <v>50</v>
      </c>
      <c r="M29" s="25">
        <v>50</v>
      </c>
      <c r="N29" s="25">
        <v>50</v>
      </c>
      <c r="O29" s="25">
        <v>50</v>
      </c>
      <c r="P29" s="25">
        <v>100</v>
      </c>
      <c r="Q29" s="25">
        <v>50</v>
      </c>
      <c r="R29" s="25">
        <v>100</v>
      </c>
      <c r="S29" s="25">
        <v>50</v>
      </c>
      <c r="T29" s="25">
        <v>100</v>
      </c>
      <c r="U29" s="67">
        <f t="shared" si="3"/>
        <v>1250</v>
      </c>
      <c r="V29" s="25">
        <v>50</v>
      </c>
      <c r="W29" s="25">
        <v>50</v>
      </c>
      <c r="X29" s="25">
        <v>50</v>
      </c>
      <c r="Y29" s="25">
        <v>50</v>
      </c>
      <c r="Z29" s="25">
        <v>100</v>
      </c>
      <c r="AA29" s="25">
        <v>50</v>
      </c>
      <c r="AB29" s="25">
        <v>50</v>
      </c>
      <c r="AC29" s="25">
        <v>50</v>
      </c>
      <c r="AD29" s="25">
        <v>50</v>
      </c>
      <c r="AE29" s="25">
        <v>50</v>
      </c>
      <c r="AF29" s="25">
        <v>100</v>
      </c>
      <c r="AG29" s="25">
        <v>100</v>
      </c>
      <c r="AH29" s="25">
        <v>100</v>
      </c>
      <c r="AI29" s="25">
        <v>600</v>
      </c>
      <c r="AJ29" s="67">
        <f t="shared" si="0"/>
        <v>1450</v>
      </c>
      <c r="AK29" s="25">
        <v>100</v>
      </c>
      <c r="AL29" s="25">
        <v>240</v>
      </c>
      <c r="AM29" s="2">
        <v>50</v>
      </c>
      <c r="AN29" s="2">
        <v>100</v>
      </c>
      <c r="AO29" s="2">
        <v>100</v>
      </c>
      <c r="AP29" s="2">
        <v>50</v>
      </c>
      <c r="AQ29" s="2">
        <v>100</v>
      </c>
      <c r="AR29" s="2">
        <v>50</v>
      </c>
      <c r="AS29" s="2">
        <v>50</v>
      </c>
      <c r="AT29" s="2">
        <v>50</v>
      </c>
      <c r="AU29" s="2">
        <v>50</v>
      </c>
      <c r="AV29" s="2">
        <v>100</v>
      </c>
      <c r="AW29" s="25"/>
      <c r="AX29" s="11">
        <f t="shared" si="1"/>
        <v>700</v>
      </c>
      <c r="AY29" s="25"/>
      <c r="AZ29" s="25"/>
      <c r="BA29" s="25"/>
      <c r="BB29" s="11">
        <f t="shared" si="5"/>
        <v>2700</v>
      </c>
      <c r="BH29" s="38"/>
      <c r="BI29" s="38"/>
      <c r="BK29" s="53"/>
    </row>
    <row r="30" spans="1:63" s="31" customFormat="1" ht="14.4" thickBot="1" x14ac:dyDescent="0.3">
      <c r="A30" s="25"/>
      <c r="B30" s="30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67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67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11">
        <f t="shared" si="1"/>
        <v>0</v>
      </c>
      <c r="AY30" s="25"/>
      <c r="AZ30" s="25"/>
      <c r="BA30" s="25"/>
      <c r="BB30" s="11"/>
      <c r="BH30" s="43" t="s">
        <v>91</v>
      </c>
      <c r="BI30" s="43">
        <f>SUM(BI15:BI28)</f>
        <v>1250</v>
      </c>
      <c r="BK30" s="53"/>
    </row>
    <row r="31" spans="1:63" s="31" customFormat="1" ht="14.4" thickTop="1" x14ac:dyDescent="0.25">
      <c r="A31" s="25">
        <v>24</v>
      </c>
      <c r="B31" s="30" t="s">
        <v>39</v>
      </c>
      <c r="C31" s="25">
        <v>50</v>
      </c>
      <c r="D31" s="25">
        <v>100</v>
      </c>
      <c r="E31" s="25">
        <v>100</v>
      </c>
      <c r="F31" s="25">
        <v>50</v>
      </c>
      <c r="G31" s="25">
        <v>50</v>
      </c>
      <c r="H31" s="25">
        <v>50</v>
      </c>
      <c r="I31" s="25">
        <v>100</v>
      </c>
      <c r="J31" s="25">
        <v>100</v>
      </c>
      <c r="K31" s="25">
        <v>50</v>
      </c>
      <c r="L31" s="25">
        <v>50</v>
      </c>
      <c r="M31" s="25">
        <v>50</v>
      </c>
      <c r="N31" s="25">
        <v>50</v>
      </c>
      <c r="O31" s="25">
        <v>50</v>
      </c>
      <c r="P31" s="25">
        <v>100</v>
      </c>
      <c r="Q31" s="25">
        <v>50</v>
      </c>
      <c r="R31" s="25">
        <v>100</v>
      </c>
      <c r="S31" s="25">
        <v>50</v>
      </c>
      <c r="T31" s="25">
        <v>100</v>
      </c>
      <c r="U31" s="67">
        <f t="shared" si="3"/>
        <v>1250</v>
      </c>
      <c r="V31" s="25">
        <v>50</v>
      </c>
      <c r="W31" s="25">
        <v>50</v>
      </c>
      <c r="X31" s="25">
        <v>50</v>
      </c>
      <c r="Y31" s="25">
        <v>50</v>
      </c>
      <c r="Z31" s="25">
        <v>100</v>
      </c>
      <c r="AA31" s="25">
        <v>50</v>
      </c>
      <c r="AB31" s="25">
        <v>50</v>
      </c>
      <c r="AC31" s="25">
        <v>50</v>
      </c>
      <c r="AD31" s="25">
        <v>50</v>
      </c>
      <c r="AE31" s="25">
        <v>50</v>
      </c>
      <c r="AF31" s="25">
        <v>100</v>
      </c>
      <c r="AG31" s="25">
        <v>100</v>
      </c>
      <c r="AH31" s="25">
        <v>100</v>
      </c>
      <c r="AI31" s="25">
        <v>600</v>
      </c>
      <c r="AJ31" s="67">
        <f t="shared" si="0"/>
        <v>1450</v>
      </c>
      <c r="AK31" s="25">
        <v>100</v>
      </c>
      <c r="AL31" s="25">
        <v>240</v>
      </c>
      <c r="AM31" s="2">
        <v>50</v>
      </c>
      <c r="AN31" s="2">
        <v>100</v>
      </c>
      <c r="AO31" s="2">
        <v>100</v>
      </c>
      <c r="AP31" s="2">
        <v>50</v>
      </c>
      <c r="AQ31" s="2">
        <v>100</v>
      </c>
      <c r="AR31" s="2">
        <v>50</v>
      </c>
      <c r="AS31" s="2">
        <v>50</v>
      </c>
      <c r="AT31" s="2">
        <v>50</v>
      </c>
      <c r="AU31" s="2">
        <v>50</v>
      </c>
      <c r="AV31" s="2">
        <v>100</v>
      </c>
      <c r="AW31" s="25"/>
      <c r="AX31" s="11">
        <f t="shared" si="1"/>
        <v>700</v>
      </c>
      <c r="AY31" s="25"/>
      <c r="AZ31" s="25"/>
      <c r="BA31" s="25"/>
      <c r="BB31" s="11">
        <f>SUM(U31,AJ31)</f>
        <v>2700</v>
      </c>
      <c r="BD31" s="31" t="s">
        <v>191</v>
      </c>
      <c r="BH31" s="38"/>
      <c r="BI31" s="38"/>
      <c r="BK31" s="53"/>
    </row>
    <row r="32" spans="1:63" s="31" customFormat="1" x14ac:dyDescent="0.25">
      <c r="A32" s="25">
        <v>25</v>
      </c>
      <c r="B32" s="30" t="s">
        <v>40</v>
      </c>
      <c r="C32" s="25">
        <v>50</v>
      </c>
      <c r="D32" s="25">
        <v>100</v>
      </c>
      <c r="E32" s="25">
        <v>100</v>
      </c>
      <c r="F32" s="25">
        <v>50</v>
      </c>
      <c r="G32" s="25">
        <v>50</v>
      </c>
      <c r="H32" s="25">
        <v>50</v>
      </c>
      <c r="I32" s="25">
        <v>100</v>
      </c>
      <c r="J32" s="25">
        <v>100</v>
      </c>
      <c r="K32" s="25">
        <v>50</v>
      </c>
      <c r="L32" s="25">
        <v>50</v>
      </c>
      <c r="M32" s="25">
        <v>50</v>
      </c>
      <c r="N32" s="25">
        <v>50</v>
      </c>
      <c r="O32" s="25">
        <v>50</v>
      </c>
      <c r="P32" s="25">
        <v>100</v>
      </c>
      <c r="Q32" s="25">
        <v>50</v>
      </c>
      <c r="R32" s="25">
        <v>100</v>
      </c>
      <c r="S32" s="25">
        <v>50</v>
      </c>
      <c r="T32" s="25">
        <v>100</v>
      </c>
      <c r="U32" s="67">
        <f t="shared" si="3"/>
        <v>1250</v>
      </c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67">
        <f t="shared" si="0"/>
        <v>0</v>
      </c>
      <c r="AK32" s="25">
        <v>100</v>
      </c>
      <c r="AL32" s="25">
        <v>240</v>
      </c>
      <c r="AM32" s="2">
        <v>50</v>
      </c>
      <c r="AN32" s="2">
        <v>100</v>
      </c>
      <c r="AO32" s="2">
        <v>100</v>
      </c>
      <c r="AP32" s="2">
        <v>50</v>
      </c>
      <c r="AQ32" s="2">
        <v>100</v>
      </c>
      <c r="AR32" s="2">
        <v>50</v>
      </c>
      <c r="AS32" s="2">
        <v>50</v>
      </c>
      <c r="AT32" s="2">
        <v>50</v>
      </c>
      <c r="AU32" s="2">
        <v>50</v>
      </c>
      <c r="AV32" s="2">
        <v>100</v>
      </c>
      <c r="AW32" s="25"/>
      <c r="AX32" s="11">
        <f t="shared" si="1"/>
        <v>700</v>
      </c>
      <c r="AY32" s="25"/>
      <c r="AZ32" s="25"/>
      <c r="BA32" s="25"/>
      <c r="BB32" s="11">
        <f>SUM(U32,AJ32)</f>
        <v>1250</v>
      </c>
      <c r="BD32" s="52">
        <v>37377</v>
      </c>
      <c r="BE32" s="53" t="s">
        <v>177</v>
      </c>
      <c r="BF32" s="53" t="s">
        <v>157</v>
      </c>
      <c r="BG32" s="53" t="s">
        <v>6</v>
      </c>
      <c r="BH32" s="38">
        <v>50</v>
      </c>
      <c r="BI32" s="38" t="s">
        <v>176</v>
      </c>
      <c r="BK32" s="53" t="s">
        <v>247</v>
      </c>
    </row>
    <row r="33" spans="1:63" s="31" customFormat="1" x14ac:dyDescent="0.25">
      <c r="A33" s="25">
        <v>26</v>
      </c>
      <c r="B33" s="30" t="s">
        <v>76</v>
      </c>
      <c r="C33" s="25">
        <v>50</v>
      </c>
      <c r="D33" s="25">
        <v>100</v>
      </c>
      <c r="E33" s="25">
        <v>100</v>
      </c>
      <c r="F33" s="25">
        <v>50</v>
      </c>
      <c r="G33" s="25">
        <v>50</v>
      </c>
      <c r="H33" s="25">
        <v>50</v>
      </c>
      <c r="I33" s="25">
        <v>100</v>
      </c>
      <c r="J33" s="25">
        <v>100</v>
      </c>
      <c r="K33" s="25">
        <v>50</v>
      </c>
      <c r="L33" s="25">
        <v>50</v>
      </c>
      <c r="M33" s="25">
        <v>50</v>
      </c>
      <c r="N33" s="25">
        <v>50</v>
      </c>
      <c r="O33" s="25">
        <v>50</v>
      </c>
      <c r="P33" s="25">
        <v>100</v>
      </c>
      <c r="Q33" s="25">
        <v>50</v>
      </c>
      <c r="R33" s="25">
        <v>100</v>
      </c>
      <c r="S33" s="25">
        <v>50</v>
      </c>
      <c r="T33" s="25">
        <v>100</v>
      </c>
      <c r="U33" s="67">
        <f t="shared" si="3"/>
        <v>1250</v>
      </c>
      <c r="V33" s="25">
        <v>50</v>
      </c>
      <c r="W33" s="25">
        <v>50</v>
      </c>
      <c r="X33" s="25">
        <v>50</v>
      </c>
      <c r="Y33" s="25">
        <v>50</v>
      </c>
      <c r="Z33" s="25">
        <v>100</v>
      </c>
      <c r="AA33" s="25">
        <v>50</v>
      </c>
      <c r="AB33" s="25">
        <v>50</v>
      </c>
      <c r="AC33" s="25">
        <v>50</v>
      </c>
      <c r="AD33" s="25">
        <v>50</v>
      </c>
      <c r="AE33" s="25">
        <v>50</v>
      </c>
      <c r="AF33" s="25">
        <v>100</v>
      </c>
      <c r="AG33" s="25">
        <v>100</v>
      </c>
      <c r="AH33" s="25">
        <v>100</v>
      </c>
      <c r="AI33" s="25">
        <v>600</v>
      </c>
      <c r="AJ33" s="67">
        <f t="shared" si="0"/>
        <v>1450</v>
      </c>
      <c r="AK33" s="25">
        <v>100</v>
      </c>
      <c r="AL33" s="25">
        <v>240</v>
      </c>
      <c r="AM33" s="2">
        <v>50</v>
      </c>
      <c r="AN33" s="2">
        <v>100</v>
      </c>
      <c r="AO33" s="2">
        <v>100</v>
      </c>
      <c r="AP33" s="2">
        <v>50</v>
      </c>
      <c r="AQ33" s="2">
        <v>100</v>
      </c>
      <c r="AR33" s="2">
        <v>50</v>
      </c>
      <c r="AS33" s="2">
        <v>50</v>
      </c>
      <c r="AT33" s="2">
        <v>50</v>
      </c>
      <c r="AU33" s="2">
        <v>50</v>
      </c>
      <c r="AV33" s="2">
        <v>100</v>
      </c>
      <c r="AW33" s="25"/>
      <c r="AX33" s="11">
        <f t="shared" si="1"/>
        <v>700</v>
      </c>
      <c r="AY33" s="25"/>
      <c r="AZ33" s="25"/>
      <c r="BA33" s="25"/>
      <c r="BB33" s="11">
        <f>SUM(U33,AJ33)</f>
        <v>2700</v>
      </c>
      <c r="BD33" s="52">
        <v>37438</v>
      </c>
      <c r="BE33" s="53" t="s">
        <v>181</v>
      </c>
      <c r="BF33" s="53" t="s">
        <v>157</v>
      </c>
      <c r="BG33" s="53" t="s">
        <v>188</v>
      </c>
      <c r="BH33" s="38">
        <v>50</v>
      </c>
      <c r="BI33" s="38" t="s">
        <v>176</v>
      </c>
      <c r="BK33" s="53" t="s">
        <v>13</v>
      </c>
    </row>
    <row r="34" spans="1:63" s="31" customFormat="1" x14ac:dyDescent="0.25">
      <c r="A34" s="25">
        <v>27</v>
      </c>
      <c r="B34" s="30" t="s">
        <v>41</v>
      </c>
      <c r="C34" s="25">
        <v>50</v>
      </c>
      <c r="D34" s="25">
        <v>100</v>
      </c>
      <c r="E34" s="25">
        <v>100</v>
      </c>
      <c r="F34" s="25">
        <v>50</v>
      </c>
      <c r="G34" s="25">
        <v>50</v>
      </c>
      <c r="H34" s="25">
        <v>50</v>
      </c>
      <c r="I34" s="25">
        <v>100</v>
      </c>
      <c r="J34" s="25">
        <v>100</v>
      </c>
      <c r="K34" s="25">
        <v>50</v>
      </c>
      <c r="L34" s="25">
        <v>50</v>
      </c>
      <c r="M34" s="25">
        <v>50</v>
      </c>
      <c r="N34" s="25">
        <v>50</v>
      </c>
      <c r="O34" s="25">
        <v>50</v>
      </c>
      <c r="P34" s="25">
        <v>100</v>
      </c>
      <c r="Q34" s="25">
        <v>50</v>
      </c>
      <c r="R34" s="25">
        <v>100</v>
      </c>
      <c r="S34" s="25">
        <v>50</v>
      </c>
      <c r="T34" s="25">
        <v>100</v>
      </c>
      <c r="U34" s="67">
        <f t="shared" si="3"/>
        <v>1250</v>
      </c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67">
        <f t="shared" si="0"/>
        <v>0</v>
      </c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11">
        <f t="shared" si="1"/>
        <v>0</v>
      </c>
      <c r="AY34" s="25"/>
      <c r="AZ34" s="25"/>
      <c r="BA34" s="25"/>
      <c r="BB34" s="11">
        <f>SUM(U34,AJ34)</f>
        <v>1250</v>
      </c>
      <c r="BD34" s="58">
        <v>37926</v>
      </c>
      <c r="BE34" s="59" t="s">
        <v>187</v>
      </c>
      <c r="BF34" s="59" t="s">
        <v>134</v>
      </c>
      <c r="BG34" s="59"/>
      <c r="BH34" s="60">
        <v>100</v>
      </c>
      <c r="BI34" s="38" t="s">
        <v>176</v>
      </c>
      <c r="BK34" s="53" t="s">
        <v>8</v>
      </c>
    </row>
    <row r="35" spans="1:63" s="31" customFormat="1" x14ac:dyDescent="0.25">
      <c r="A35" s="25">
        <v>28</v>
      </c>
      <c r="B35" s="1" t="s">
        <v>216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9">
        <f t="shared" si="3"/>
        <v>0</v>
      </c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9">
        <f t="shared" si="0"/>
        <v>0</v>
      </c>
      <c r="AK35" s="2">
        <v>100</v>
      </c>
      <c r="AL35" s="2">
        <v>240</v>
      </c>
      <c r="AM35" s="2">
        <v>50</v>
      </c>
      <c r="AN35" s="2">
        <v>100</v>
      </c>
      <c r="AO35" s="2">
        <v>100</v>
      </c>
      <c r="AP35" s="2">
        <v>50</v>
      </c>
      <c r="AQ35" s="2">
        <v>100</v>
      </c>
      <c r="AR35" s="2">
        <v>50</v>
      </c>
      <c r="AS35" s="2">
        <v>50</v>
      </c>
      <c r="AT35" s="2">
        <v>50</v>
      </c>
      <c r="AU35" s="2">
        <v>50</v>
      </c>
      <c r="AV35" s="2">
        <v>100</v>
      </c>
      <c r="AW35" s="2"/>
      <c r="AX35" s="11">
        <f t="shared" si="1"/>
        <v>700</v>
      </c>
      <c r="AY35" s="2"/>
      <c r="AZ35" s="2"/>
      <c r="BA35" s="2"/>
      <c r="BB35" s="11">
        <f>SUM(U35,AJ35)</f>
        <v>0</v>
      </c>
      <c r="BD35" s="52">
        <v>38991</v>
      </c>
      <c r="BE35" s="53" t="s">
        <v>146</v>
      </c>
      <c r="BF35" s="53" t="s">
        <v>157</v>
      </c>
      <c r="BG35" s="53" t="s">
        <v>14</v>
      </c>
      <c r="BH35" s="38">
        <v>50</v>
      </c>
      <c r="BI35" s="38" t="s">
        <v>176</v>
      </c>
      <c r="BK35" s="53" t="s">
        <v>247</v>
      </c>
    </row>
    <row r="36" spans="1:63" s="31" customFormat="1" x14ac:dyDescent="0.25">
      <c r="A36" s="25">
        <v>29</v>
      </c>
      <c r="B36" s="1" t="s">
        <v>225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9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2">
        <v>100</v>
      </c>
      <c r="AL36" s="2">
        <v>240</v>
      </c>
      <c r="AM36" s="2">
        <v>50</v>
      </c>
      <c r="AN36" s="2">
        <v>100</v>
      </c>
      <c r="AO36" s="2">
        <v>100</v>
      </c>
      <c r="AP36" s="2">
        <v>50</v>
      </c>
      <c r="AQ36" s="2">
        <v>100</v>
      </c>
      <c r="AR36" s="2">
        <v>50</v>
      </c>
      <c r="AS36" s="2">
        <v>50</v>
      </c>
      <c r="AT36" s="2">
        <v>50</v>
      </c>
      <c r="AU36" s="2">
        <v>50</v>
      </c>
      <c r="AV36" s="2">
        <v>100</v>
      </c>
      <c r="AW36" s="2"/>
      <c r="AX36" s="11">
        <f t="shared" si="1"/>
        <v>700</v>
      </c>
      <c r="AY36" s="2"/>
      <c r="AZ36" s="2"/>
      <c r="BA36" s="2"/>
      <c r="BB36" s="11">
        <f>SUM(C36:AG36)</f>
        <v>0</v>
      </c>
      <c r="BD36" s="52">
        <v>38991</v>
      </c>
      <c r="BE36" s="53" t="s">
        <v>190</v>
      </c>
      <c r="BF36" s="53" t="s">
        <v>134</v>
      </c>
      <c r="BG36" s="53"/>
      <c r="BH36" s="38">
        <v>100</v>
      </c>
      <c r="BI36" s="38" t="s">
        <v>176</v>
      </c>
      <c r="BK36" s="53" t="s">
        <v>247</v>
      </c>
    </row>
    <row r="37" spans="1:63" s="31" customFormat="1" x14ac:dyDescent="0.25">
      <c r="A37" s="25">
        <v>30</v>
      </c>
      <c r="B37" s="30" t="s">
        <v>43</v>
      </c>
      <c r="C37" s="25">
        <v>50</v>
      </c>
      <c r="D37" s="25">
        <v>100</v>
      </c>
      <c r="E37" s="25">
        <v>100</v>
      </c>
      <c r="F37" s="25">
        <v>50</v>
      </c>
      <c r="G37" s="25">
        <v>50</v>
      </c>
      <c r="H37" s="25">
        <v>50</v>
      </c>
      <c r="I37" s="25">
        <v>100</v>
      </c>
      <c r="J37" s="25">
        <v>100</v>
      </c>
      <c r="K37" s="25">
        <v>50</v>
      </c>
      <c r="L37" s="25">
        <v>50</v>
      </c>
      <c r="M37" s="25">
        <v>50</v>
      </c>
      <c r="N37" s="25">
        <v>50</v>
      </c>
      <c r="O37" s="25">
        <v>50</v>
      </c>
      <c r="P37" s="25">
        <v>100</v>
      </c>
      <c r="Q37" s="25">
        <v>50</v>
      </c>
      <c r="R37" s="25">
        <v>100</v>
      </c>
      <c r="S37" s="25">
        <v>50</v>
      </c>
      <c r="T37" s="25">
        <v>100</v>
      </c>
      <c r="U37" s="67">
        <f t="shared" si="3"/>
        <v>1250</v>
      </c>
      <c r="V37" s="25">
        <v>50</v>
      </c>
      <c r="W37" s="25">
        <v>50</v>
      </c>
      <c r="X37" s="25">
        <v>50</v>
      </c>
      <c r="Y37" s="25">
        <v>50</v>
      </c>
      <c r="Z37" s="25">
        <v>100</v>
      </c>
      <c r="AA37" s="25">
        <v>50</v>
      </c>
      <c r="AB37" s="25">
        <v>50</v>
      </c>
      <c r="AC37" s="25">
        <v>50</v>
      </c>
      <c r="AD37" s="25">
        <v>50</v>
      </c>
      <c r="AE37" s="25">
        <v>50</v>
      </c>
      <c r="AF37" s="25">
        <v>100</v>
      </c>
      <c r="AG37" s="25">
        <v>100</v>
      </c>
      <c r="AH37" s="25">
        <v>100</v>
      </c>
      <c r="AI37" s="25">
        <v>600</v>
      </c>
      <c r="AJ37" s="67">
        <f t="shared" si="0"/>
        <v>1450</v>
      </c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11">
        <f t="shared" si="1"/>
        <v>0</v>
      </c>
      <c r="AY37" s="25"/>
      <c r="AZ37" s="25"/>
      <c r="BA37" s="25"/>
      <c r="BB37" s="11">
        <f t="shared" ref="BB37:BB43" si="6">SUM(U37,AJ37)</f>
        <v>2700</v>
      </c>
      <c r="BD37" s="52">
        <v>40057</v>
      </c>
      <c r="BE37" s="53" t="s">
        <v>180</v>
      </c>
      <c r="BF37" s="53" t="s">
        <v>9</v>
      </c>
      <c r="BG37" s="53"/>
      <c r="BH37" s="38">
        <v>100</v>
      </c>
      <c r="BI37" s="38" t="s">
        <v>176</v>
      </c>
      <c r="BK37" s="53" t="s">
        <v>247</v>
      </c>
    </row>
    <row r="38" spans="1:63" s="31" customFormat="1" x14ac:dyDescent="0.25">
      <c r="A38" s="25">
        <v>31</v>
      </c>
      <c r="B38" s="30" t="s">
        <v>75</v>
      </c>
      <c r="C38" s="25">
        <v>50</v>
      </c>
      <c r="D38" s="25">
        <v>100</v>
      </c>
      <c r="E38" s="25">
        <v>100</v>
      </c>
      <c r="F38" s="25">
        <v>50</v>
      </c>
      <c r="G38" s="25">
        <v>50</v>
      </c>
      <c r="H38" s="25">
        <v>50</v>
      </c>
      <c r="I38" s="25">
        <v>100</v>
      </c>
      <c r="J38" s="25">
        <v>100</v>
      </c>
      <c r="K38" s="25">
        <v>50</v>
      </c>
      <c r="L38" s="25">
        <v>50</v>
      </c>
      <c r="M38" s="25">
        <v>50</v>
      </c>
      <c r="N38" s="25">
        <v>50</v>
      </c>
      <c r="O38" s="25">
        <v>50</v>
      </c>
      <c r="P38" s="25">
        <v>100</v>
      </c>
      <c r="Q38" s="25">
        <v>50</v>
      </c>
      <c r="R38" s="25">
        <v>100</v>
      </c>
      <c r="S38" s="25">
        <v>50</v>
      </c>
      <c r="T38" s="25">
        <v>100</v>
      </c>
      <c r="U38" s="67">
        <f t="shared" si="3"/>
        <v>1250</v>
      </c>
      <c r="V38" s="25">
        <v>50</v>
      </c>
      <c r="W38" s="25">
        <v>50</v>
      </c>
      <c r="X38" s="25">
        <v>50</v>
      </c>
      <c r="Y38" s="25">
        <v>50</v>
      </c>
      <c r="Z38" s="25">
        <v>100</v>
      </c>
      <c r="AA38" s="25">
        <v>50</v>
      </c>
      <c r="AB38" s="25">
        <v>50</v>
      </c>
      <c r="AC38" s="25">
        <v>50</v>
      </c>
      <c r="AD38" s="25">
        <v>50</v>
      </c>
      <c r="AE38" s="25">
        <v>50</v>
      </c>
      <c r="AF38" s="25">
        <v>100</v>
      </c>
      <c r="AG38" s="25">
        <v>100</v>
      </c>
      <c r="AH38" s="25">
        <v>100</v>
      </c>
      <c r="AI38" s="25">
        <v>600</v>
      </c>
      <c r="AJ38" s="67">
        <f t="shared" si="0"/>
        <v>1450</v>
      </c>
      <c r="AK38" s="25">
        <v>100</v>
      </c>
      <c r="AL38" s="25">
        <v>240</v>
      </c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11">
        <f t="shared" si="1"/>
        <v>0</v>
      </c>
      <c r="AY38" s="25"/>
      <c r="AZ38" s="25"/>
      <c r="BA38" s="25"/>
      <c r="BB38" s="11">
        <f t="shared" si="6"/>
        <v>2700</v>
      </c>
      <c r="BD38" s="52">
        <v>40360</v>
      </c>
      <c r="BE38" s="53" t="s">
        <v>179</v>
      </c>
      <c r="BF38" s="53" t="s">
        <v>157</v>
      </c>
      <c r="BG38" s="53" t="s">
        <v>189</v>
      </c>
      <c r="BH38" s="38">
        <v>50</v>
      </c>
      <c r="BI38" s="51" t="s">
        <v>176</v>
      </c>
      <c r="BK38" s="53" t="s">
        <v>247</v>
      </c>
    </row>
    <row r="39" spans="1:63" s="31" customFormat="1" x14ac:dyDescent="0.25">
      <c r="A39" s="25">
        <v>32</v>
      </c>
      <c r="B39" s="30" t="s">
        <v>44</v>
      </c>
      <c r="C39" s="25">
        <v>50</v>
      </c>
      <c r="D39" s="25">
        <v>100</v>
      </c>
      <c r="E39" s="25">
        <v>100</v>
      </c>
      <c r="F39" s="25">
        <v>50</v>
      </c>
      <c r="G39" s="25">
        <v>50</v>
      </c>
      <c r="H39" s="25">
        <v>50</v>
      </c>
      <c r="I39" s="25">
        <v>100</v>
      </c>
      <c r="J39" s="25">
        <v>100</v>
      </c>
      <c r="K39" s="25">
        <v>50</v>
      </c>
      <c r="L39" s="25">
        <v>50</v>
      </c>
      <c r="M39" s="25">
        <v>50</v>
      </c>
      <c r="N39" s="25">
        <v>50</v>
      </c>
      <c r="O39" s="25">
        <v>50</v>
      </c>
      <c r="P39" s="25">
        <v>100</v>
      </c>
      <c r="Q39" s="25">
        <v>50</v>
      </c>
      <c r="R39" s="25">
        <v>100</v>
      </c>
      <c r="S39" s="25">
        <v>50</v>
      </c>
      <c r="T39" s="25">
        <v>100</v>
      </c>
      <c r="U39" s="67">
        <f t="shared" si="3"/>
        <v>1250</v>
      </c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67">
        <f t="shared" si="0"/>
        <v>0</v>
      </c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11">
        <f t="shared" si="1"/>
        <v>0</v>
      </c>
      <c r="AY39" s="25"/>
      <c r="AZ39" s="25"/>
      <c r="BA39" s="25"/>
      <c r="BB39" s="11">
        <f t="shared" si="6"/>
        <v>1250</v>
      </c>
      <c r="BD39" s="52">
        <v>40787</v>
      </c>
      <c r="BE39" s="53" t="s">
        <v>182</v>
      </c>
      <c r="BF39" s="53" t="s">
        <v>157</v>
      </c>
      <c r="BG39" s="53" t="s">
        <v>6</v>
      </c>
      <c r="BH39" s="38">
        <v>50</v>
      </c>
      <c r="BI39" s="51" t="s">
        <v>176</v>
      </c>
      <c r="BK39" s="53" t="s">
        <v>12</v>
      </c>
    </row>
    <row r="40" spans="1:63" s="31" customFormat="1" x14ac:dyDescent="0.25">
      <c r="A40" s="25">
        <v>33</v>
      </c>
      <c r="B40" s="30" t="s">
        <v>45</v>
      </c>
      <c r="C40" s="25">
        <v>50</v>
      </c>
      <c r="D40" s="25">
        <v>100</v>
      </c>
      <c r="E40" s="25">
        <v>100</v>
      </c>
      <c r="F40" s="25">
        <v>50</v>
      </c>
      <c r="G40" s="25">
        <v>50</v>
      </c>
      <c r="H40" s="25">
        <v>50</v>
      </c>
      <c r="I40" s="25">
        <v>100</v>
      </c>
      <c r="J40" s="25">
        <v>100</v>
      </c>
      <c r="K40" s="25">
        <v>50</v>
      </c>
      <c r="L40" s="25">
        <v>50</v>
      </c>
      <c r="M40" s="25">
        <v>50</v>
      </c>
      <c r="N40" s="25">
        <v>50</v>
      </c>
      <c r="O40" s="25">
        <v>50</v>
      </c>
      <c r="P40" s="25">
        <v>100</v>
      </c>
      <c r="Q40" s="25">
        <v>50</v>
      </c>
      <c r="R40" s="25">
        <v>100</v>
      </c>
      <c r="S40" s="25">
        <v>50</v>
      </c>
      <c r="T40" s="25">
        <v>100</v>
      </c>
      <c r="U40" s="67">
        <f t="shared" si="3"/>
        <v>1250</v>
      </c>
      <c r="V40" s="25">
        <v>50</v>
      </c>
      <c r="W40" s="25">
        <v>50</v>
      </c>
      <c r="X40" s="25">
        <v>50</v>
      </c>
      <c r="Y40" s="25">
        <v>50</v>
      </c>
      <c r="Z40" s="25">
        <v>100</v>
      </c>
      <c r="AA40" s="25">
        <v>50</v>
      </c>
      <c r="AB40" s="25">
        <v>50</v>
      </c>
      <c r="AC40" s="25">
        <v>50</v>
      </c>
      <c r="AD40" s="25">
        <v>50</v>
      </c>
      <c r="AE40" s="25">
        <v>50</v>
      </c>
      <c r="AF40" s="25">
        <v>100</v>
      </c>
      <c r="AG40" s="25">
        <v>100</v>
      </c>
      <c r="AH40" s="25">
        <v>100</v>
      </c>
      <c r="AI40" s="25">
        <v>600</v>
      </c>
      <c r="AJ40" s="67">
        <f t="shared" si="0"/>
        <v>1450</v>
      </c>
      <c r="AK40" s="2">
        <v>100</v>
      </c>
      <c r="AL40" s="2">
        <v>240</v>
      </c>
      <c r="AM40" s="2">
        <v>50</v>
      </c>
      <c r="AN40" s="2">
        <v>100</v>
      </c>
      <c r="AO40" s="2">
        <v>100</v>
      </c>
      <c r="AP40" s="2">
        <v>50</v>
      </c>
      <c r="AQ40" s="2">
        <v>100</v>
      </c>
      <c r="AR40" s="2">
        <v>50</v>
      </c>
      <c r="AS40" s="2">
        <v>50</v>
      </c>
      <c r="AT40" s="2">
        <v>50</v>
      </c>
      <c r="AU40" s="2">
        <v>50</v>
      </c>
      <c r="AV40" s="2">
        <v>100</v>
      </c>
      <c r="AW40" s="25"/>
      <c r="AX40" s="11">
        <f t="shared" si="1"/>
        <v>700</v>
      </c>
      <c r="AY40" s="25"/>
      <c r="AZ40" s="25"/>
      <c r="BA40" s="25"/>
      <c r="BB40" s="11">
        <f t="shared" si="6"/>
        <v>2700</v>
      </c>
      <c r="BD40" s="52">
        <v>40787</v>
      </c>
      <c r="BE40" s="53" t="s">
        <v>183</v>
      </c>
      <c r="BF40" s="53" t="s">
        <v>157</v>
      </c>
      <c r="BG40" s="53" t="s">
        <v>6</v>
      </c>
      <c r="BH40" s="38">
        <v>50</v>
      </c>
      <c r="BI40" s="51" t="s">
        <v>176</v>
      </c>
      <c r="BK40" s="53" t="s">
        <v>12</v>
      </c>
    </row>
    <row r="41" spans="1:63" s="31" customFormat="1" x14ac:dyDescent="0.25">
      <c r="A41" s="25">
        <v>34</v>
      </c>
      <c r="B41" s="30" t="s">
        <v>74</v>
      </c>
      <c r="C41" s="25">
        <v>50</v>
      </c>
      <c r="D41" s="25">
        <v>100</v>
      </c>
      <c r="E41" s="25">
        <v>100</v>
      </c>
      <c r="F41" s="25">
        <v>50</v>
      </c>
      <c r="G41" s="25">
        <v>50</v>
      </c>
      <c r="H41" s="25">
        <v>50</v>
      </c>
      <c r="I41" s="25">
        <v>100</v>
      </c>
      <c r="J41" s="25">
        <v>100</v>
      </c>
      <c r="K41" s="25">
        <v>50</v>
      </c>
      <c r="L41" s="25">
        <v>50</v>
      </c>
      <c r="M41" s="25">
        <v>50</v>
      </c>
      <c r="N41" s="25">
        <v>50</v>
      </c>
      <c r="O41" s="25">
        <v>50</v>
      </c>
      <c r="P41" s="25">
        <v>100</v>
      </c>
      <c r="Q41" s="25">
        <v>50</v>
      </c>
      <c r="R41" s="25">
        <v>100</v>
      </c>
      <c r="S41" s="25">
        <v>50</v>
      </c>
      <c r="T41" s="25">
        <v>100</v>
      </c>
      <c r="U41" s="67">
        <f t="shared" si="3"/>
        <v>1250</v>
      </c>
      <c r="V41" s="25">
        <v>50</v>
      </c>
      <c r="W41" s="25">
        <v>50</v>
      </c>
      <c r="X41" s="25">
        <v>50</v>
      </c>
      <c r="Y41" s="25">
        <v>50</v>
      </c>
      <c r="Z41" s="25">
        <v>100</v>
      </c>
      <c r="AA41" s="25">
        <v>50</v>
      </c>
      <c r="AB41" s="25">
        <v>50</v>
      </c>
      <c r="AC41" s="25">
        <v>50</v>
      </c>
      <c r="AD41" s="25">
        <v>50</v>
      </c>
      <c r="AE41" s="25">
        <v>50</v>
      </c>
      <c r="AF41" s="25">
        <v>100</v>
      </c>
      <c r="AG41" s="25">
        <v>100</v>
      </c>
      <c r="AH41" s="25">
        <v>100</v>
      </c>
      <c r="AI41" s="25">
        <v>600</v>
      </c>
      <c r="AJ41" s="67">
        <f t="shared" si="0"/>
        <v>1450</v>
      </c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11">
        <f t="shared" si="1"/>
        <v>0</v>
      </c>
      <c r="AY41" s="25"/>
      <c r="AZ41" s="25"/>
      <c r="BA41" s="25"/>
      <c r="BB41" s="11">
        <f t="shared" si="6"/>
        <v>2700</v>
      </c>
      <c r="BD41" s="52">
        <v>43344</v>
      </c>
      <c r="BE41" s="53" t="s">
        <v>184</v>
      </c>
      <c r="BF41" s="53" t="s">
        <v>157</v>
      </c>
      <c r="BG41" s="53" t="s">
        <v>185</v>
      </c>
      <c r="BH41" s="38">
        <v>50</v>
      </c>
      <c r="BI41" s="38" t="s">
        <v>176</v>
      </c>
      <c r="BK41" s="53" t="s">
        <v>8</v>
      </c>
    </row>
    <row r="42" spans="1:63" s="31" customFormat="1" x14ac:dyDescent="0.25">
      <c r="A42" s="25"/>
      <c r="B42" s="30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67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67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11">
        <f t="shared" si="1"/>
        <v>0</v>
      </c>
      <c r="AY42" s="25"/>
      <c r="AZ42" s="25"/>
      <c r="BA42" s="25"/>
      <c r="BB42" s="11">
        <f t="shared" si="6"/>
        <v>0</v>
      </c>
      <c r="BD42" s="52">
        <v>43344</v>
      </c>
      <c r="BE42" s="53" t="s">
        <v>186</v>
      </c>
      <c r="BF42" s="53" t="s">
        <v>157</v>
      </c>
      <c r="BG42" s="53" t="s">
        <v>6</v>
      </c>
      <c r="BH42" s="38">
        <v>50</v>
      </c>
      <c r="BI42" s="38" t="s">
        <v>176</v>
      </c>
      <c r="BK42" s="53" t="s">
        <v>8</v>
      </c>
    </row>
    <row r="43" spans="1:63" s="31" customFormat="1" x14ac:dyDescent="0.25">
      <c r="A43" s="2">
        <v>35</v>
      </c>
      <c r="B43" s="1" t="s">
        <v>237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9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2">
        <v>100</v>
      </c>
      <c r="AL43" s="2">
        <v>240</v>
      </c>
      <c r="AM43" s="2">
        <v>50</v>
      </c>
      <c r="AN43" s="2">
        <v>100</v>
      </c>
      <c r="AO43" s="2">
        <v>100</v>
      </c>
      <c r="AP43" s="2">
        <v>50</v>
      </c>
      <c r="AQ43" s="2">
        <v>100</v>
      </c>
      <c r="AR43" s="2">
        <v>50</v>
      </c>
      <c r="AS43" s="2">
        <v>50</v>
      </c>
      <c r="AT43" s="2">
        <v>50</v>
      </c>
      <c r="AU43" s="2">
        <v>50</v>
      </c>
      <c r="AV43" s="2">
        <v>100</v>
      </c>
      <c r="AW43" s="2"/>
      <c r="AX43" s="11">
        <f t="shared" si="1"/>
        <v>700</v>
      </c>
      <c r="AY43" s="2"/>
      <c r="AZ43" s="2"/>
      <c r="BA43" s="2"/>
      <c r="BB43" s="11">
        <f t="shared" si="6"/>
        <v>0</v>
      </c>
      <c r="BD43" s="52">
        <v>41579</v>
      </c>
      <c r="BE43" s="62" t="s">
        <v>205</v>
      </c>
      <c r="BF43" s="53" t="s">
        <v>9</v>
      </c>
      <c r="BG43" s="53"/>
      <c r="BH43" s="38">
        <v>100</v>
      </c>
      <c r="BI43" s="38" t="s">
        <v>176</v>
      </c>
      <c r="BK43" s="53" t="s">
        <v>10</v>
      </c>
    </row>
    <row r="44" spans="1:63" s="31" customFormat="1" x14ac:dyDescent="0.25">
      <c r="A44" s="25">
        <v>36</v>
      </c>
      <c r="B44" s="30" t="s">
        <v>65</v>
      </c>
      <c r="C44" s="25">
        <v>50</v>
      </c>
      <c r="D44" s="25">
        <v>100</v>
      </c>
      <c r="E44" s="25">
        <v>100</v>
      </c>
      <c r="F44" s="25">
        <v>50</v>
      </c>
      <c r="G44" s="25">
        <v>50</v>
      </c>
      <c r="H44" s="25">
        <v>50</v>
      </c>
      <c r="I44" s="25">
        <v>100</v>
      </c>
      <c r="J44" s="25">
        <v>100</v>
      </c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67">
        <f>SUM(C44:T44)</f>
        <v>600</v>
      </c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67">
        <f>SUM(V44:AI44)</f>
        <v>0</v>
      </c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11">
        <f t="shared" si="1"/>
        <v>0</v>
      </c>
      <c r="AY44" s="25"/>
      <c r="AZ44" s="25"/>
      <c r="BA44" s="25"/>
      <c r="BB44" s="11">
        <f>SUM(C44:AG44)</f>
        <v>1200</v>
      </c>
      <c r="BD44" s="54">
        <v>43586</v>
      </c>
      <c r="BE44" s="55" t="s">
        <v>178</v>
      </c>
      <c r="BF44" s="55" t="s">
        <v>157</v>
      </c>
      <c r="BG44" s="55" t="s">
        <v>6</v>
      </c>
      <c r="BH44" s="41">
        <v>50</v>
      </c>
      <c r="BI44" s="56">
        <f>SUM(BH32:BH44)</f>
        <v>850</v>
      </c>
      <c r="BJ44" s="31">
        <f>SUM(BH34:BH37,BH39:BH43)</f>
        <v>650</v>
      </c>
      <c r="BK44" s="53" t="s">
        <v>247</v>
      </c>
    </row>
    <row r="45" spans="1:63" s="31" customFormat="1" x14ac:dyDescent="0.25">
      <c r="A45" s="2">
        <v>37</v>
      </c>
      <c r="B45" s="30" t="s">
        <v>46</v>
      </c>
      <c r="C45" s="25">
        <v>50</v>
      </c>
      <c r="D45" s="25">
        <v>100</v>
      </c>
      <c r="E45" s="25">
        <v>100</v>
      </c>
      <c r="F45" s="25">
        <v>50</v>
      </c>
      <c r="G45" s="25">
        <v>50</v>
      </c>
      <c r="H45" s="25">
        <v>50</v>
      </c>
      <c r="I45" s="25">
        <v>100</v>
      </c>
      <c r="J45" s="25">
        <v>100</v>
      </c>
      <c r="K45" s="25">
        <v>50</v>
      </c>
      <c r="L45" s="25">
        <v>50</v>
      </c>
      <c r="M45" s="25">
        <v>50</v>
      </c>
      <c r="N45" s="25">
        <v>50</v>
      </c>
      <c r="O45" s="25">
        <v>50</v>
      </c>
      <c r="P45" s="25">
        <v>100</v>
      </c>
      <c r="Q45" s="25">
        <v>50</v>
      </c>
      <c r="R45" s="25">
        <v>100</v>
      </c>
      <c r="S45" s="25">
        <v>50</v>
      </c>
      <c r="T45" s="25">
        <v>100</v>
      </c>
      <c r="U45" s="67">
        <f t="shared" si="3"/>
        <v>1250</v>
      </c>
      <c r="V45" s="25">
        <v>50</v>
      </c>
      <c r="W45" s="25">
        <v>50</v>
      </c>
      <c r="X45" s="25">
        <v>50</v>
      </c>
      <c r="Y45" s="25">
        <v>50</v>
      </c>
      <c r="Z45" s="25">
        <v>100</v>
      </c>
      <c r="AA45" s="25">
        <v>50</v>
      </c>
      <c r="AB45" s="25">
        <v>50</v>
      </c>
      <c r="AC45" s="25">
        <v>50</v>
      </c>
      <c r="AD45" s="25">
        <v>50</v>
      </c>
      <c r="AE45" s="25">
        <v>50</v>
      </c>
      <c r="AF45" s="25">
        <v>100</v>
      </c>
      <c r="AG45" s="25">
        <v>100</v>
      </c>
      <c r="AH45" s="25">
        <v>100</v>
      </c>
      <c r="AI45" s="25">
        <v>600</v>
      </c>
      <c r="AJ45" s="67">
        <f t="shared" si="0"/>
        <v>1450</v>
      </c>
      <c r="AK45" s="2">
        <v>100</v>
      </c>
      <c r="AL45" s="2">
        <v>240</v>
      </c>
      <c r="AM45" s="2">
        <v>50</v>
      </c>
      <c r="AN45" s="2">
        <v>100</v>
      </c>
      <c r="AO45" s="2">
        <v>100</v>
      </c>
      <c r="AP45" s="2">
        <v>50</v>
      </c>
      <c r="AQ45" s="2">
        <v>100</v>
      </c>
      <c r="AR45" s="2">
        <v>50</v>
      </c>
      <c r="AS45" s="2">
        <v>50</v>
      </c>
      <c r="AT45" s="2">
        <v>50</v>
      </c>
      <c r="AU45" s="2">
        <v>50</v>
      </c>
      <c r="AV45" s="2">
        <v>100</v>
      </c>
      <c r="AW45" s="25"/>
      <c r="AX45" s="11">
        <f t="shared" si="1"/>
        <v>700</v>
      </c>
      <c r="AY45" s="25"/>
      <c r="AZ45" s="25"/>
      <c r="BA45" s="25"/>
      <c r="BB45" s="11">
        <f>SUM(U45,AJ45)</f>
        <v>2700</v>
      </c>
      <c r="BH45" s="38"/>
      <c r="BI45" s="38"/>
      <c r="BK45" s="53"/>
    </row>
    <row r="46" spans="1:63" s="31" customFormat="1" ht="15" customHeight="1" x14ac:dyDescent="0.25">
      <c r="A46" s="25">
        <v>38</v>
      </c>
      <c r="B46" s="7" t="s">
        <v>61</v>
      </c>
      <c r="C46" s="25">
        <v>50</v>
      </c>
      <c r="D46" s="25">
        <v>100</v>
      </c>
      <c r="E46" s="25">
        <v>100</v>
      </c>
      <c r="F46" s="25">
        <v>50</v>
      </c>
      <c r="G46" s="25">
        <v>50</v>
      </c>
      <c r="H46" s="25">
        <v>50</v>
      </c>
      <c r="I46" s="25">
        <v>100</v>
      </c>
      <c r="J46" s="25">
        <v>100</v>
      </c>
      <c r="K46" s="25">
        <v>50</v>
      </c>
      <c r="L46" s="25">
        <v>50</v>
      </c>
      <c r="M46" s="25">
        <v>50</v>
      </c>
      <c r="N46" s="25">
        <v>50</v>
      </c>
      <c r="O46" s="25">
        <v>50</v>
      </c>
      <c r="P46" s="25">
        <v>100</v>
      </c>
      <c r="Q46" s="25">
        <v>50</v>
      </c>
      <c r="R46" s="25">
        <v>100</v>
      </c>
      <c r="S46" s="25">
        <v>50</v>
      </c>
      <c r="T46" s="25">
        <v>100</v>
      </c>
      <c r="U46" s="67">
        <f>SUM(C46:T46)</f>
        <v>1250</v>
      </c>
      <c r="V46" s="25">
        <v>50</v>
      </c>
      <c r="W46" s="25">
        <v>50</v>
      </c>
      <c r="X46" s="25">
        <v>50</v>
      </c>
      <c r="Y46" s="25">
        <v>50</v>
      </c>
      <c r="Z46" s="25">
        <v>100</v>
      </c>
      <c r="AA46" s="25">
        <v>50</v>
      </c>
      <c r="AB46" s="25">
        <v>50</v>
      </c>
      <c r="AC46" s="25">
        <v>50</v>
      </c>
      <c r="AD46" s="25">
        <v>50</v>
      </c>
      <c r="AE46" s="25">
        <v>50</v>
      </c>
      <c r="AF46" s="25">
        <v>100</v>
      </c>
      <c r="AG46" s="25">
        <v>100</v>
      </c>
      <c r="AH46" s="25">
        <v>100</v>
      </c>
      <c r="AI46" s="25">
        <v>600</v>
      </c>
      <c r="AJ46" s="67">
        <f t="shared" ref="AJ46" si="7">SUM(V46:AI46)</f>
        <v>1450</v>
      </c>
      <c r="AK46" s="2">
        <v>100</v>
      </c>
      <c r="AL46" s="2">
        <v>240</v>
      </c>
      <c r="AM46" s="2">
        <v>50</v>
      </c>
      <c r="AN46" s="2">
        <v>100</v>
      </c>
      <c r="AO46" s="2">
        <v>100</v>
      </c>
      <c r="AP46" s="2">
        <v>50</v>
      </c>
      <c r="AQ46" s="2">
        <v>100</v>
      </c>
      <c r="AR46" s="2">
        <v>50</v>
      </c>
      <c r="AS46" s="2">
        <v>50</v>
      </c>
      <c r="AT46" s="2">
        <v>50</v>
      </c>
      <c r="AU46" s="2">
        <v>50</v>
      </c>
      <c r="AV46" s="2">
        <v>100</v>
      </c>
      <c r="AW46" s="2"/>
      <c r="AX46" s="11">
        <f t="shared" si="1"/>
        <v>700</v>
      </c>
      <c r="AY46" s="2"/>
      <c r="AZ46" s="2"/>
      <c r="BA46" s="2"/>
      <c r="BB46" s="11">
        <f>SUM(C46:AG46)</f>
        <v>3250</v>
      </c>
      <c r="BD46" s="40"/>
      <c r="BE46" s="40" t="s">
        <v>192</v>
      </c>
      <c r="BF46" s="40"/>
      <c r="BG46" s="40"/>
      <c r="BH46" s="41">
        <v>600</v>
      </c>
      <c r="BI46" s="56">
        <f>BH46</f>
        <v>600</v>
      </c>
      <c r="BK46" s="53"/>
    </row>
    <row r="47" spans="1:63" s="31" customFormat="1" ht="14.4" thickBot="1" x14ac:dyDescent="0.3">
      <c r="A47" s="2">
        <v>39</v>
      </c>
      <c r="B47" s="30" t="s">
        <v>47</v>
      </c>
      <c r="C47" s="25">
        <v>50</v>
      </c>
      <c r="D47" s="25">
        <v>100</v>
      </c>
      <c r="E47" s="25">
        <v>100</v>
      </c>
      <c r="F47" s="25">
        <v>50</v>
      </c>
      <c r="G47" s="25">
        <v>50</v>
      </c>
      <c r="H47" s="25">
        <v>50</v>
      </c>
      <c r="I47" s="25">
        <v>100</v>
      </c>
      <c r="J47" s="25">
        <v>100</v>
      </c>
      <c r="K47" s="25">
        <v>50</v>
      </c>
      <c r="L47" s="25">
        <v>50</v>
      </c>
      <c r="M47" s="25">
        <v>50</v>
      </c>
      <c r="N47" s="25">
        <v>50</v>
      </c>
      <c r="O47" s="25">
        <v>50</v>
      </c>
      <c r="P47" s="25">
        <v>100</v>
      </c>
      <c r="Q47" s="25">
        <v>50</v>
      </c>
      <c r="R47" s="25">
        <v>100</v>
      </c>
      <c r="S47" s="25">
        <v>50</v>
      </c>
      <c r="T47" s="25">
        <v>100</v>
      </c>
      <c r="U47" s="67">
        <f t="shared" si="3"/>
        <v>1250</v>
      </c>
      <c r="V47" s="25">
        <v>50</v>
      </c>
      <c r="W47" s="25">
        <v>50</v>
      </c>
      <c r="X47" s="25">
        <v>50</v>
      </c>
      <c r="Y47" s="25">
        <v>50</v>
      </c>
      <c r="Z47" s="25">
        <v>100</v>
      </c>
      <c r="AA47" s="25">
        <v>50</v>
      </c>
      <c r="AB47" s="25">
        <v>50</v>
      </c>
      <c r="AC47" s="25">
        <v>50</v>
      </c>
      <c r="AD47" s="25">
        <v>50</v>
      </c>
      <c r="AE47" s="25">
        <v>50</v>
      </c>
      <c r="AF47" s="25">
        <v>100</v>
      </c>
      <c r="AG47" s="25">
        <v>100</v>
      </c>
      <c r="AH47" s="25">
        <v>100</v>
      </c>
      <c r="AI47" s="25">
        <v>600</v>
      </c>
      <c r="AJ47" s="67">
        <f t="shared" ref="AJ47" si="8">SUM(V47:AI47)</f>
        <v>1450</v>
      </c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11">
        <f t="shared" si="1"/>
        <v>0</v>
      </c>
      <c r="AY47" s="25"/>
      <c r="AZ47" s="25"/>
      <c r="BA47" s="25"/>
      <c r="BB47" s="11">
        <f>SUM(U47,AJ47)</f>
        <v>2700</v>
      </c>
      <c r="BD47" s="105" t="s">
        <v>91</v>
      </c>
      <c r="BE47" s="105"/>
      <c r="BF47" s="105"/>
      <c r="BG47" s="105"/>
      <c r="BH47" s="105"/>
      <c r="BI47" s="57">
        <f>SUM(BI44:BI46)</f>
        <v>1450</v>
      </c>
      <c r="BK47" s="53"/>
    </row>
    <row r="48" spans="1:63" s="31" customFormat="1" ht="14.4" thickTop="1" x14ac:dyDescent="0.25">
      <c r="A48" s="25">
        <v>40</v>
      </c>
      <c r="B48" s="30" t="s">
        <v>67</v>
      </c>
      <c r="C48" s="25">
        <v>50</v>
      </c>
      <c r="D48" s="25">
        <v>100</v>
      </c>
      <c r="E48" s="25">
        <v>100</v>
      </c>
      <c r="F48" s="25">
        <v>50</v>
      </c>
      <c r="G48" s="25">
        <v>50</v>
      </c>
      <c r="H48" s="25">
        <v>50</v>
      </c>
      <c r="I48" s="25">
        <v>100</v>
      </c>
      <c r="J48" s="25">
        <v>100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67">
        <f>SUM(C48:T48)</f>
        <v>600</v>
      </c>
      <c r="V48" s="25">
        <v>50</v>
      </c>
      <c r="W48" s="25">
        <v>50</v>
      </c>
      <c r="X48" s="25">
        <v>50</v>
      </c>
      <c r="Y48" s="25">
        <v>50</v>
      </c>
      <c r="Z48" s="25">
        <v>100</v>
      </c>
      <c r="AA48" s="25">
        <v>50</v>
      </c>
      <c r="AB48" s="25">
        <v>50</v>
      </c>
      <c r="AC48" s="25">
        <v>50</v>
      </c>
      <c r="AD48" s="25">
        <v>50</v>
      </c>
      <c r="AE48" s="25">
        <v>50</v>
      </c>
      <c r="AF48" s="25">
        <v>100</v>
      </c>
      <c r="AG48" s="25">
        <v>100</v>
      </c>
      <c r="AH48" s="25">
        <v>100</v>
      </c>
      <c r="AI48" s="79">
        <v>600</v>
      </c>
      <c r="AJ48" s="67">
        <f>SUM(V48:AI48)</f>
        <v>1450</v>
      </c>
      <c r="AK48" s="25">
        <v>100</v>
      </c>
      <c r="AL48" s="25">
        <v>240</v>
      </c>
      <c r="AM48" s="79">
        <v>50</v>
      </c>
      <c r="AN48" s="79">
        <v>100</v>
      </c>
      <c r="AO48" s="79">
        <v>100</v>
      </c>
      <c r="AP48" s="79">
        <v>50</v>
      </c>
      <c r="AQ48" s="79">
        <v>100</v>
      </c>
      <c r="AR48" s="79">
        <v>50</v>
      </c>
      <c r="AS48" s="79">
        <v>50</v>
      </c>
      <c r="AT48" s="79">
        <v>50</v>
      </c>
      <c r="AU48" s="79">
        <v>50</v>
      </c>
      <c r="AV48" s="79">
        <v>100</v>
      </c>
      <c r="AW48" s="25"/>
      <c r="AX48" s="11">
        <f>SUM(AM48:AV48)</f>
        <v>700</v>
      </c>
      <c r="AY48" s="25"/>
      <c r="AZ48" s="25"/>
      <c r="BA48" s="25"/>
      <c r="BB48" s="11">
        <f>SUM(C48:AG48)</f>
        <v>1950</v>
      </c>
      <c r="BE48" s="31" t="s">
        <v>211</v>
      </c>
      <c r="BH48" s="38"/>
      <c r="BI48" s="38">
        <v>100</v>
      </c>
      <c r="BK48" s="53"/>
    </row>
    <row r="49" spans="1:63" s="31" customFormat="1" x14ac:dyDescent="0.25">
      <c r="A49" s="2">
        <v>41</v>
      </c>
      <c r="B49" s="30" t="s">
        <v>50</v>
      </c>
      <c r="C49" s="25">
        <v>50</v>
      </c>
      <c r="D49" s="25">
        <v>100</v>
      </c>
      <c r="E49" s="25">
        <v>100</v>
      </c>
      <c r="F49" s="25">
        <v>50</v>
      </c>
      <c r="G49" s="25">
        <v>50</v>
      </c>
      <c r="H49" s="25">
        <v>50</v>
      </c>
      <c r="I49" s="25">
        <v>100</v>
      </c>
      <c r="J49" s="25">
        <v>100</v>
      </c>
      <c r="K49" s="25">
        <v>50</v>
      </c>
      <c r="L49" s="25">
        <v>50</v>
      </c>
      <c r="M49" s="25">
        <v>50</v>
      </c>
      <c r="N49" s="25">
        <v>50</v>
      </c>
      <c r="O49" s="25">
        <v>50</v>
      </c>
      <c r="P49" s="25">
        <v>100</v>
      </c>
      <c r="Q49" s="25">
        <v>50</v>
      </c>
      <c r="R49" s="25">
        <v>100</v>
      </c>
      <c r="S49" s="25">
        <v>50</v>
      </c>
      <c r="T49" s="25">
        <v>100</v>
      </c>
      <c r="U49" s="67">
        <f t="shared" si="3"/>
        <v>1250</v>
      </c>
      <c r="V49" s="25">
        <v>50</v>
      </c>
      <c r="W49" s="25">
        <v>50</v>
      </c>
      <c r="X49" s="25">
        <v>50</v>
      </c>
      <c r="Y49" s="25">
        <v>50</v>
      </c>
      <c r="Z49" s="25">
        <v>100</v>
      </c>
      <c r="AA49" s="25">
        <v>50</v>
      </c>
      <c r="AB49" s="25">
        <v>50</v>
      </c>
      <c r="AC49" s="25">
        <v>50</v>
      </c>
      <c r="AD49" s="25">
        <v>50</v>
      </c>
      <c r="AE49" s="25">
        <v>50</v>
      </c>
      <c r="AF49" s="25">
        <v>100</v>
      </c>
      <c r="AG49" s="25">
        <v>100</v>
      </c>
      <c r="AH49" s="25">
        <v>100</v>
      </c>
      <c r="AI49" s="25">
        <v>600</v>
      </c>
      <c r="AJ49" s="67">
        <f t="shared" si="0"/>
        <v>1450</v>
      </c>
      <c r="AK49" s="25">
        <v>100</v>
      </c>
      <c r="AL49" s="25">
        <v>240</v>
      </c>
      <c r="AM49" s="25">
        <v>50</v>
      </c>
      <c r="AN49" s="25">
        <v>100</v>
      </c>
      <c r="AO49" s="25">
        <v>100</v>
      </c>
      <c r="AP49" s="25">
        <v>50</v>
      </c>
      <c r="AQ49" s="25">
        <v>100</v>
      </c>
      <c r="AR49" s="25">
        <v>50</v>
      </c>
      <c r="AS49" s="25">
        <v>50</v>
      </c>
      <c r="AT49" s="25">
        <v>50</v>
      </c>
      <c r="AU49" s="25">
        <v>50</v>
      </c>
      <c r="AV49" s="25">
        <v>100</v>
      </c>
      <c r="AW49" s="25"/>
      <c r="AX49" s="11">
        <f t="shared" si="1"/>
        <v>700</v>
      </c>
      <c r="AY49" s="25"/>
      <c r="AZ49" s="25"/>
      <c r="BA49" s="25"/>
      <c r="BB49" s="11">
        <f>SUM(U49,AJ49)</f>
        <v>2700</v>
      </c>
      <c r="BE49" s="31" t="s">
        <v>212</v>
      </c>
      <c r="BH49" s="38"/>
      <c r="BI49" s="38">
        <v>240</v>
      </c>
      <c r="BK49" s="53"/>
    </row>
    <row r="50" spans="1:63" s="31" customFormat="1" x14ac:dyDescent="0.25">
      <c r="A50" s="25">
        <v>42</v>
      </c>
      <c r="B50" s="30" t="s">
        <v>292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9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9"/>
      <c r="AK50" s="65"/>
      <c r="AL50" s="25">
        <v>240</v>
      </c>
      <c r="AM50" s="65"/>
      <c r="AN50" s="65"/>
      <c r="AO50" s="65"/>
      <c r="AP50" s="65"/>
      <c r="AQ50" s="65"/>
      <c r="AR50" s="25">
        <v>50</v>
      </c>
      <c r="AS50" s="25">
        <v>50</v>
      </c>
      <c r="AT50" s="65"/>
      <c r="AU50" s="65"/>
      <c r="AV50" s="65"/>
      <c r="AW50" s="25"/>
      <c r="AX50" s="11"/>
      <c r="AY50" s="25"/>
      <c r="AZ50" s="25"/>
      <c r="BA50" s="25"/>
      <c r="BB50" s="11"/>
      <c r="BH50" s="38"/>
      <c r="BI50" s="38"/>
      <c r="BK50" s="53"/>
    </row>
    <row r="51" spans="1:63" s="31" customFormat="1" ht="14.4" thickBot="1" x14ac:dyDescent="0.3">
      <c r="A51" s="25"/>
      <c r="B51" s="30" t="s">
        <v>52</v>
      </c>
      <c r="C51" s="25">
        <v>50</v>
      </c>
      <c r="D51" s="25">
        <v>100</v>
      </c>
      <c r="E51" s="25">
        <v>100</v>
      </c>
      <c r="F51" s="25">
        <v>50</v>
      </c>
      <c r="G51" s="25">
        <v>50</v>
      </c>
      <c r="H51" s="25">
        <v>50</v>
      </c>
      <c r="I51" s="25">
        <v>100</v>
      </c>
      <c r="J51" s="25">
        <v>100</v>
      </c>
      <c r="K51" s="25">
        <v>50</v>
      </c>
      <c r="L51" s="25">
        <v>50</v>
      </c>
      <c r="M51" s="25">
        <v>50</v>
      </c>
      <c r="N51" s="25">
        <v>50</v>
      </c>
      <c r="O51" s="25">
        <v>50</v>
      </c>
      <c r="P51" s="25">
        <v>100</v>
      </c>
      <c r="Q51" s="25">
        <v>50</v>
      </c>
      <c r="R51" s="25">
        <v>100</v>
      </c>
      <c r="S51" s="25">
        <v>50</v>
      </c>
      <c r="T51" s="25">
        <v>100</v>
      </c>
      <c r="U51" s="67">
        <f t="shared" si="3"/>
        <v>1250</v>
      </c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50">
        <f t="shared" si="0"/>
        <v>0</v>
      </c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11">
        <f t="shared" si="1"/>
        <v>0</v>
      </c>
      <c r="AY51" s="49"/>
      <c r="AZ51" s="49"/>
      <c r="BA51" s="49"/>
      <c r="BB51" s="50">
        <f>SUM(U51,AJ51)</f>
        <v>1250</v>
      </c>
      <c r="BH51" s="38"/>
      <c r="BI51" s="61">
        <f>SUM(BI47:BI49)</f>
        <v>1790</v>
      </c>
      <c r="BK51" s="53"/>
    </row>
    <row r="52" spans="1:63" s="31" customFormat="1" ht="14.4" thickTop="1" x14ac:dyDescent="0.25">
      <c r="A52" s="2">
        <v>43</v>
      </c>
      <c r="B52" s="30" t="s">
        <v>53</v>
      </c>
      <c r="C52" s="25">
        <v>50</v>
      </c>
      <c r="D52" s="25">
        <v>100</v>
      </c>
      <c r="E52" s="25">
        <v>100</v>
      </c>
      <c r="F52" s="25">
        <v>50</v>
      </c>
      <c r="G52" s="25">
        <v>50</v>
      </c>
      <c r="H52" s="25">
        <v>50</v>
      </c>
      <c r="I52" s="25">
        <v>100</v>
      </c>
      <c r="J52" s="25">
        <v>100</v>
      </c>
      <c r="K52" s="25">
        <v>50</v>
      </c>
      <c r="L52" s="25">
        <v>50</v>
      </c>
      <c r="M52" s="25">
        <v>50</v>
      </c>
      <c r="N52" s="25">
        <v>50</v>
      </c>
      <c r="O52" s="25">
        <v>50</v>
      </c>
      <c r="P52" s="25">
        <v>100</v>
      </c>
      <c r="Q52" s="25">
        <v>50</v>
      </c>
      <c r="R52" s="25">
        <v>100</v>
      </c>
      <c r="S52" s="25">
        <v>50</v>
      </c>
      <c r="T52" s="25">
        <v>100</v>
      </c>
      <c r="U52" s="67">
        <f t="shared" si="3"/>
        <v>1250</v>
      </c>
      <c r="V52" s="25">
        <v>50</v>
      </c>
      <c r="W52" s="25">
        <v>50</v>
      </c>
      <c r="X52" s="25">
        <v>50</v>
      </c>
      <c r="Y52" s="25">
        <v>50</v>
      </c>
      <c r="Z52" s="25">
        <v>100</v>
      </c>
      <c r="AA52" s="25">
        <v>50</v>
      </c>
      <c r="AB52" s="25">
        <v>50</v>
      </c>
      <c r="AC52" s="25">
        <v>50</v>
      </c>
      <c r="AD52" s="25">
        <v>50</v>
      </c>
      <c r="AE52" s="25">
        <v>50</v>
      </c>
      <c r="AF52" s="25">
        <v>100</v>
      </c>
      <c r="AG52" s="25">
        <v>100</v>
      </c>
      <c r="AH52" s="25">
        <v>100</v>
      </c>
      <c r="AI52" s="25">
        <v>600</v>
      </c>
      <c r="AJ52" s="67">
        <f t="shared" si="0"/>
        <v>1450</v>
      </c>
      <c r="AK52" s="25">
        <v>100</v>
      </c>
      <c r="AL52" s="25">
        <v>240</v>
      </c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11">
        <f t="shared" si="1"/>
        <v>0</v>
      </c>
      <c r="AY52" s="25"/>
      <c r="AZ52" s="25"/>
      <c r="BA52" s="25"/>
      <c r="BB52" s="11">
        <f>SUM(U52,AJ52)</f>
        <v>2700</v>
      </c>
      <c r="BD52" s="84" t="s">
        <v>208</v>
      </c>
      <c r="BE52" s="84"/>
      <c r="BF52" s="85"/>
      <c r="BG52" s="85"/>
      <c r="BH52" s="86"/>
      <c r="BI52" s="86"/>
      <c r="BK52" s="53"/>
    </row>
    <row r="53" spans="1:63" s="31" customFormat="1" x14ac:dyDescent="0.25">
      <c r="A53" s="25">
        <v>44</v>
      </c>
      <c r="B53" s="30" t="s">
        <v>54</v>
      </c>
      <c r="C53" s="25">
        <v>50</v>
      </c>
      <c r="D53" s="25">
        <v>100</v>
      </c>
      <c r="E53" s="25">
        <v>100</v>
      </c>
      <c r="F53" s="25">
        <v>50</v>
      </c>
      <c r="G53" s="25">
        <v>50</v>
      </c>
      <c r="H53" s="25">
        <v>50</v>
      </c>
      <c r="I53" s="25">
        <v>100</v>
      </c>
      <c r="J53" s="25">
        <v>100</v>
      </c>
      <c r="K53" s="25">
        <v>50</v>
      </c>
      <c r="L53" s="25">
        <v>50</v>
      </c>
      <c r="M53" s="25">
        <v>50</v>
      </c>
      <c r="N53" s="25">
        <v>50</v>
      </c>
      <c r="O53" s="25">
        <v>50</v>
      </c>
      <c r="P53" s="25">
        <v>100</v>
      </c>
      <c r="Q53" s="25">
        <v>50</v>
      </c>
      <c r="R53" s="25">
        <v>100</v>
      </c>
      <c r="S53" s="25">
        <v>50</v>
      </c>
      <c r="T53" s="25">
        <v>100</v>
      </c>
      <c r="U53" s="67">
        <f t="shared" si="3"/>
        <v>1250</v>
      </c>
      <c r="V53" s="25">
        <v>50</v>
      </c>
      <c r="W53" s="25">
        <v>50</v>
      </c>
      <c r="X53" s="25">
        <v>50</v>
      </c>
      <c r="Y53" s="25">
        <v>50</v>
      </c>
      <c r="Z53" s="25">
        <v>100</v>
      </c>
      <c r="AA53" s="25">
        <v>50</v>
      </c>
      <c r="AB53" s="25">
        <v>50</v>
      </c>
      <c r="AC53" s="25">
        <v>50</v>
      </c>
      <c r="AD53" s="25">
        <v>50</v>
      </c>
      <c r="AE53" s="25">
        <v>50</v>
      </c>
      <c r="AF53" s="25">
        <v>100</v>
      </c>
      <c r="AG53" s="25">
        <v>100</v>
      </c>
      <c r="AH53" s="25">
        <v>100</v>
      </c>
      <c r="AI53" s="25">
        <v>600</v>
      </c>
      <c r="AJ53" s="67">
        <f t="shared" ref="AJ53" si="9">SUM(V53:AI53)</f>
        <v>1450</v>
      </c>
      <c r="AK53" s="25">
        <v>100</v>
      </c>
      <c r="AL53" s="25">
        <v>240</v>
      </c>
      <c r="AM53" s="25">
        <v>50</v>
      </c>
      <c r="AN53" s="25">
        <v>100</v>
      </c>
      <c r="AO53" s="25">
        <v>100</v>
      </c>
      <c r="AP53" s="25">
        <v>50</v>
      </c>
      <c r="AQ53" s="25">
        <v>100</v>
      </c>
      <c r="AR53" s="25">
        <v>50</v>
      </c>
      <c r="AS53" s="25">
        <v>50</v>
      </c>
      <c r="AT53" s="25">
        <v>50</v>
      </c>
      <c r="AU53" s="25">
        <v>50</v>
      </c>
      <c r="AV53" s="25">
        <v>100</v>
      </c>
      <c r="AW53" s="25"/>
      <c r="AX53" s="11">
        <f t="shared" si="1"/>
        <v>700</v>
      </c>
      <c r="AY53" s="25"/>
      <c r="AZ53" s="25"/>
      <c r="BA53" s="25"/>
      <c r="BB53" s="11">
        <f>SUM(U53,AJ53)</f>
        <v>2700</v>
      </c>
      <c r="BD53" s="87">
        <v>40057</v>
      </c>
      <c r="BE53" s="88" t="s">
        <v>180</v>
      </c>
      <c r="BF53" s="88" t="s">
        <v>9</v>
      </c>
      <c r="BG53" s="88"/>
      <c r="BH53" s="86">
        <v>100</v>
      </c>
      <c r="BI53" s="86" t="s">
        <v>176</v>
      </c>
      <c r="BK53" s="53"/>
    </row>
    <row r="54" spans="1:63" s="31" customFormat="1" x14ac:dyDescent="0.25">
      <c r="A54" s="2">
        <v>45</v>
      </c>
      <c r="B54" s="30" t="s">
        <v>272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9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9"/>
      <c r="AK54" s="25">
        <v>100</v>
      </c>
      <c r="AL54" s="25">
        <v>240</v>
      </c>
      <c r="AM54" s="25">
        <v>50</v>
      </c>
      <c r="AN54" s="25">
        <v>100</v>
      </c>
      <c r="AO54" s="25">
        <v>100</v>
      </c>
      <c r="AP54" s="25">
        <v>50</v>
      </c>
      <c r="AQ54" s="25">
        <v>100</v>
      </c>
      <c r="AR54" s="25">
        <v>50</v>
      </c>
      <c r="AS54" s="25">
        <v>50</v>
      </c>
      <c r="AT54" s="25">
        <v>50</v>
      </c>
      <c r="AU54" s="25">
        <v>50</v>
      </c>
      <c r="AV54" s="25">
        <v>100</v>
      </c>
      <c r="AW54" s="25"/>
      <c r="AX54" s="11">
        <f t="shared" si="1"/>
        <v>700</v>
      </c>
      <c r="AY54" s="25"/>
      <c r="AZ54" s="25"/>
      <c r="BA54" s="25"/>
      <c r="BB54" s="11"/>
      <c r="BD54" s="87">
        <v>40787</v>
      </c>
      <c r="BE54" s="88" t="s">
        <v>182</v>
      </c>
      <c r="BF54" s="88" t="s">
        <v>157</v>
      </c>
      <c r="BG54" s="88" t="s">
        <v>6</v>
      </c>
      <c r="BH54" s="86">
        <v>50</v>
      </c>
      <c r="BI54" s="86"/>
      <c r="BK54" s="53"/>
    </row>
    <row r="55" spans="1:63" s="31" customFormat="1" x14ac:dyDescent="0.25">
      <c r="A55" s="25">
        <v>46</v>
      </c>
      <c r="B55" s="30" t="s">
        <v>28</v>
      </c>
      <c r="C55" s="25">
        <v>50</v>
      </c>
      <c r="D55" s="25">
        <v>100</v>
      </c>
      <c r="E55" s="25">
        <v>100</v>
      </c>
      <c r="F55" s="25">
        <v>50</v>
      </c>
      <c r="G55" s="25">
        <v>50</v>
      </c>
      <c r="H55" s="25">
        <v>50</v>
      </c>
      <c r="I55" s="25">
        <v>100</v>
      </c>
      <c r="J55" s="25">
        <v>100</v>
      </c>
      <c r="K55" s="25">
        <v>50</v>
      </c>
      <c r="L55" s="25">
        <v>50</v>
      </c>
      <c r="M55" s="25">
        <v>50</v>
      </c>
      <c r="N55" s="25">
        <v>50</v>
      </c>
      <c r="O55" s="25">
        <v>50</v>
      </c>
      <c r="P55" s="25">
        <v>100</v>
      </c>
      <c r="Q55" s="25">
        <v>50</v>
      </c>
      <c r="R55" s="25">
        <v>100</v>
      </c>
      <c r="S55" s="25">
        <v>50</v>
      </c>
      <c r="T55" s="25">
        <v>100</v>
      </c>
      <c r="U55" s="67">
        <f>SUM(C55:T55)</f>
        <v>1250</v>
      </c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67">
        <f>SUM(V55:AI55)</f>
        <v>0</v>
      </c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11">
        <f t="shared" si="1"/>
        <v>0</v>
      </c>
      <c r="AY55" s="25"/>
      <c r="AZ55" s="25"/>
      <c r="BA55" s="25"/>
      <c r="BB55" s="11">
        <f>SUM(U55,AJ55)</f>
        <v>1250</v>
      </c>
      <c r="BD55" s="87"/>
      <c r="BE55" s="88"/>
      <c r="BF55" s="88"/>
      <c r="BG55" s="88"/>
      <c r="BH55" s="86"/>
      <c r="BI55" s="86"/>
      <c r="BK55" s="53"/>
    </row>
    <row r="56" spans="1:63" s="31" customFormat="1" x14ac:dyDescent="0.25">
      <c r="A56" s="2">
        <v>47</v>
      </c>
      <c r="B56" s="30" t="s">
        <v>290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9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9"/>
      <c r="AK56" s="25">
        <v>100</v>
      </c>
      <c r="AL56" s="25">
        <v>240</v>
      </c>
      <c r="AM56" s="25">
        <v>50</v>
      </c>
      <c r="AN56" s="25">
        <v>100</v>
      </c>
      <c r="AO56" s="25">
        <v>100</v>
      </c>
      <c r="AP56" s="25">
        <v>50</v>
      </c>
      <c r="AQ56" s="25">
        <v>100</v>
      </c>
      <c r="AR56" s="25">
        <v>50</v>
      </c>
      <c r="AS56" s="25">
        <v>50</v>
      </c>
      <c r="AT56" s="25">
        <v>50</v>
      </c>
      <c r="AU56" s="25">
        <v>50</v>
      </c>
      <c r="AV56" s="25">
        <v>100</v>
      </c>
      <c r="AW56" s="25"/>
      <c r="AX56" s="11"/>
      <c r="AY56" s="25"/>
      <c r="AZ56" s="25"/>
      <c r="BA56" s="25"/>
      <c r="BB56" s="11"/>
      <c r="BD56" s="87"/>
      <c r="BE56" s="88"/>
      <c r="BF56" s="88"/>
      <c r="BG56" s="88"/>
      <c r="BH56" s="86"/>
      <c r="BI56" s="86"/>
      <c r="BK56" s="53"/>
    </row>
    <row r="57" spans="1:63" s="31" customFormat="1" x14ac:dyDescent="0.25">
      <c r="A57" s="25">
        <v>48</v>
      </c>
      <c r="B57" s="30" t="s">
        <v>56</v>
      </c>
      <c r="C57" s="25">
        <v>50</v>
      </c>
      <c r="D57" s="25">
        <v>100</v>
      </c>
      <c r="E57" s="25">
        <v>100</v>
      </c>
      <c r="F57" s="25">
        <v>50</v>
      </c>
      <c r="G57" s="25">
        <v>50</v>
      </c>
      <c r="H57" s="25">
        <v>50</v>
      </c>
      <c r="I57" s="25">
        <v>100</v>
      </c>
      <c r="J57" s="25">
        <v>100</v>
      </c>
      <c r="K57" s="25">
        <v>50</v>
      </c>
      <c r="L57" s="25">
        <v>50</v>
      </c>
      <c r="M57" s="25">
        <v>50</v>
      </c>
      <c r="N57" s="25">
        <v>50</v>
      </c>
      <c r="O57" s="25">
        <v>50</v>
      </c>
      <c r="P57" s="25">
        <v>100</v>
      </c>
      <c r="Q57" s="25">
        <v>50</v>
      </c>
      <c r="R57" s="25">
        <v>100</v>
      </c>
      <c r="S57" s="25">
        <v>50</v>
      </c>
      <c r="T57" s="25">
        <v>100</v>
      </c>
      <c r="U57" s="67">
        <f t="shared" si="3"/>
        <v>1250</v>
      </c>
      <c r="V57" s="25">
        <v>50</v>
      </c>
      <c r="W57" s="25">
        <v>50</v>
      </c>
      <c r="X57" s="25">
        <v>50</v>
      </c>
      <c r="Y57" s="25">
        <v>50</v>
      </c>
      <c r="Z57" s="25">
        <v>100</v>
      </c>
      <c r="AA57" s="25">
        <v>50</v>
      </c>
      <c r="AB57" s="25">
        <v>50</v>
      </c>
      <c r="AC57" s="25">
        <v>50</v>
      </c>
      <c r="AD57" s="25">
        <v>50</v>
      </c>
      <c r="AE57" s="25">
        <v>50</v>
      </c>
      <c r="AF57" s="25">
        <v>100</v>
      </c>
      <c r="AG57" s="25">
        <v>100</v>
      </c>
      <c r="AH57" s="25">
        <v>100</v>
      </c>
      <c r="AI57" s="25">
        <v>600</v>
      </c>
      <c r="AJ57" s="67">
        <f t="shared" si="0"/>
        <v>1450</v>
      </c>
      <c r="AK57" s="25">
        <v>100</v>
      </c>
      <c r="AL57" s="25">
        <v>240</v>
      </c>
      <c r="AM57" s="2">
        <v>50</v>
      </c>
      <c r="AN57" s="2">
        <v>100</v>
      </c>
      <c r="AO57" s="2">
        <v>100</v>
      </c>
      <c r="AP57" s="2">
        <v>50</v>
      </c>
      <c r="AQ57" s="2">
        <v>100</v>
      </c>
      <c r="AR57" s="2">
        <v>50</v>
      </c>
      <c r="AS57" s="2">
        <v>50</v>
      </c>
      <c r="AT57" s="2">
        <v>50</v>
      </c>
      <c r="AU57" s="2">
        <v>50</v>
      </c>
      <c r="AV57" s="2">
        <v>100</v>
      </c>
      <c r="AW57" s="25"/>
      <c r="AX57" s="11">
        <f t="shared" si="1"/>
        <v>700</v>
      </c>
      <c r="AY57" s="25"/>
      <c r="AZ57" s="25"/>
      <c r="BA57" s="25"/>
      <c r="BB57" s="11">
        <f>SUM(U57,AJ57)</f>
        <v>2700</v>
      </c>
      <c r="BD57" s="87"/>
      <c r="BE57" s="88"/>
      <c r="BF57" s="88"/>
      <c r="BG57" s="88"/>
      <c r="BH57" s="86"/>
      <c r="BI57" s="86"/>
      <c r="BK57" s="53"/>
    </row>
    <row r="58" spans="1:63" s="31" customFormat="1" x14ac:dyDescent="0.25">
      <c r="A58" s="2">
        <v>49</v>
      </c>
      <c r="B58" s="30" t="s">
        <v>57</v>
      </c>
      <c r="C58" s="25">
        <v>50</v>
      </c>
      <c r="D58" s="25">
        <v>100</v>
      </c>
      <c r="E58" s="25">
        <v>100</v>
      </c>
      <c r="F58" s="25">
        <v>50</v>
      </c>
      <c r="G58" s="25">
        <v>50</v>
      </c>
      <c r="H58" s="25">
        <v>50</v>
      </c>
      <c r="I58" s="25">
        <v>100</v>
      </c>
      <c r="J58" s="25">
        <v>100</v>
      </c>
      <c r="K58" s="25">
        <v>50</v>
      </c>
      <c r="L58" s="25">
        <v>50</v>
      </c>
      <c r="M58" s="25">
        <v>50</v>
      </c>
      <c r="N58" s="25">
        <v>50</v>
      </c>
      <c r="O58" s="25">
        <v>50</v>
      </c>
      <c r="P58" s="25">
        <v>100</v>
      </c>
      <c r="Q58" s="25">
        <v>50</v>
      </c>
      <c r="R58" s="25">
        <v>100</v>
      </c>
      <c r="S58" s="25">
        <v>50</v>
      </c>
      <c r="T58" s="25">
        <v>100</v>
      </c>
      <c r="U58" s="67">
        <f t="shared" si="3"/>
        <v>1250</v>
      </c>
      <c r="V58" s="25">
        <v>50</v>
      </c>
      <c r="W58" s="25">
        <v>50</v>
      </c>
      <c r="X58" s="25">
        <v>50</v>
      </c>
      <c r="Y58" s="25">
        <v>50</v>
      </c>
      <c r="Z58" s="25">
        <v>100</v>
      </c>
      <c r="AA58" s="25">
        <v>50</v>
      </c>
      <c r="AB58" s="25">
        <v>50</v>
      </c>
      <c r="AC58" s="25">
        <v>50</v>
      </c>
      <c r="AD58" s="25">
        <v>50</v>
      </c>
      <c r="AE58" s="25">
        <v>50</v>
      </c>
      <c r="AF58" s="25">
        <v>100</v>
      </c>
      <c r="AG58" s="25">
        <v>100</v>
      </c>
      <c r="AH58" s="25">
        <v>100</v>
      </c>
      <c r="AI58" s="25">
        <v>600</v>
      </c>
      <c r="AJ58" s="67">
        <f t="shared" si="0"/>
        <v>1450</v>
      </c>
      <c r="AK58" s="79">
        <v>100</v>
      </c>
      <c r="AL58" s="79">
        <v>240</v>
      </c>
      <c r="AM58" s="2">
        <v>50</v>
      </c>
      <c r="AN58" s="2">
        <v>100</v>
      </c>
      <c r="AO58" s="2">
        <v>100</v>
      </c>
      <c r="AP58" s="2">
        <v>50</v>
      </c>
      <c r="AQ58" s="2">
        <v>100</v>
      </c>
      <c r="AR58" s="2">
        <v>50</v>
      </c>
      <c r="AS58" s="2">
        <v>50</v>
      </c>
      <c r="AT58" s="2">
        <v>50</v>
      </c>
      <c r="AU58" s="2">
        <v>50</v>
      </c>
      <c r="AV58" s="2">
        <v>100</v>
      </c>
      <c r="AW58" s="79"/>
      <c r="AX58" s="11">
        <f t="shared" si="1"/>
        <v>700</v>
      </c>
      <c r="AY58" s="25"/>
      <c r="AZ58" s="25"/>
      <c r="BA58" s="25"/>
      <c r="BB58" s="11">
        <f>SUM(U58,AJ58)</f>
        <v>2700</v>
      </c>
      <c r="BD58" s="87">
        <v>40787</v>
      </c>
      <c r="BE58" s="88" t="s">
        <v>183</v>
      </c>
      <c r="BF58" s="88" t="s">
        <v>157</v>
      </c>
      <c r="BG58" s="88" t="s">
        <v>6</v>
      </c>
      <c r="BH58" s="86">
        <v>50</v>
      </c>
      <c r="BI58" s="86"/>
      <c r="BK58" s="53"/>
    </row>
    <row r="59" spans="1:63" s="31" customFormat="1" x14ac:dyDescent="0.25">
      <c r="A59" s="25">
        <v>50</v>
      </c>
      <c r="B59" s="7" t="s">
        <v>124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67">
        <f>SUM(C59:T59)</f>
        <v>0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67">
        <f>SUM(V59:AI59)</f>
        <v>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11">
        <f>SUM(AM59:AV59)</f>
        <v>0</v>
      </c>
      <c r="AY59" s="2"/>
      <c r="AZ59" s="2"/>
      <c r="BA59" s="2"/>
      <c r="BB59" s="11">
        <f>SUM(C59:AG59)</f>
        <v>0</v>
      </c>
      <c r="BD59" s="87">
        <v>43344</v>
      </c>
      <c r="BE59" s="88" t="s">
        <v>184</v>
      </c>
      <c r="BF59" s="88" t="s">
        <v>157</v>
      </c>
      <c r="BG59" s="88" t="s">
        <v>185</v>
      </c>
      <c r="BH59" s="86">
        <v>50</v>
      </c>
      <c r="BI59" s="86"/>
      <c r="BK59" s="53"/>
    </row>
    <row r="60" spans="1:63" s="31" customFormat="1" x14ac:dyDescent="0.25">
      <c r="A60" s="2">
        <v>51</v>
      </c>
      <c r="B60" s="30" t="s">
        <v>235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9">
        <f t="shared" si="3"/>
        <v>0</v>
      </c>
      <c r="V60" s="65"/>
      <c r="W60" s="65"/>
      <c r="X60" s="65"/>
      <c r="Y60" s="65"/>
      <c r="Z60" s="25">
        <v>100</v>
      </c>
      <c r="AA60" s="25">
        <v>50</v>
      </c>
      <c r="AB60" s="25">
        <v>50</v>
      </c>
      <c r="AC60" s="25">
        <v>50</v>
      </c>
      <c r="AD60" s="25">
        <v>50</v>
      </c>
      <c r="AE60" s="25">
        <v>50</v>
      </c>
      <c r="AF60" s="25">
        <v>100</v>
      </c>
      <c r="AG60" s="25">
        <v>100</v>
      </c>
      <c r="AH60" s="25">
        <v>100</v>
      </c>
      <c r="AI60" s="25">
        <v>400</v>
      </c>
      <c r="AJ60" s="67">
        <f t="shared" si="0"/>
        <v>1050</v>
      </c>
      <c r="AK60" s="79">
        <v>100</v>
      </c>
      <c r="AL60" s="79">
        <v>240</v>
      </c>
      <c r="AM60" s="79">
        <v>50</v>
      </c>
      <c r="AN60" s="79">
        <v>100</v>
      </c>
      <c r="AO60" s="79">
        <v>100</v>
      </c>
      <c r="AP60" s="79">
        <v>50</v>
      </c>
      <c r="AQ60" s="79">
        <v>100</v>
      </c>
      <c r="AR60" s="79">
        <v>50</v>
      </c>
      <c r="AS60" s="79">
        <v>50</v>
      </c>
      <c r="AT60" s="79">
        <v>50</v>
      </c>
      <c r="AU60" s="79">
        <v>50</v>
      </c>
      <c r="AV60" s="79">
        <v>100</v>
      </c>
      <c r="AW60" s="79"/>
      <c r="AX60" s="11">
        <f t="shared" si="1"/>
        <v>700</v>
      </c>
      <c r="AY60" s="63"/>
      <c r="AZ60" s="63"/>
      <c r="BA60" s="25"/>
      <c r="BB60" s="11"/>
      <c r="BD60" s="87">
        <v>43344</v>
      </c>
      <c r="BE60" s="88" t="s">
        <v>186</v>
      </c>
      <c r="BF60" s="88" t="s">
        <v>157</v>
      </c>
      <c r="BG60" s="88" t="s">
        <v>6</v>
      </c>
      <c r="BH60" s="86">
        <v>50</v>
      </c>
      <c r="BI60" s="86" t="s">
        <v>176</v>
      </c>
      <c r="BK60" s="53"/>
    </row>
    <row r="61" spans="1:63" s="31" customFormat="1" x14ac:dyDescent="0.25">
      <c r="A61" s="25">
        <v>52</v>
      </c>
      <c r="B61" s="30" t="s">
        <v>64</v>
      </c>
      <c r="C61" s="25">
        <v>50</v>
      </c>
      <c r="D61" s="25">
        <v>100</v>
      </c>
      <c r="E61" s="25">
        <v>100</v>
      </c>
      <c r="F61" s="25">
        <v>50</v>
      </c>
      <c r="G61" s="25">
        <v>50</v>
      </c>
      <c r="H61" s="25">
        <v>50</v>
      </c>
      <c r="I61" s="25">
        <v>100</v>
      </c>
      <c r="J61" s="25">
        <v>100</v>
      </c>
      <c r="K61" s="25">
        <v>50</v>
      </c>
      <c r="L61" s="25">
        <v>50</v>
      </c>
      <c r="M61" s="25">
        <v>50</v>
      </c>
      <c r="N61" s="25">
        <v>50</v>
      </c>
      <c r="O61" s="25">
        <v>50</v>
      </c>
      <c r="P61" s="25">
        <v>100</v>
      </c>
      <c r="Q61" s="25">
        <v>50</v>
      </c>
      <c r="R61" s="25">
        <v>100</v>
      </c>
      <c r="S61" s="25">
        <v>50</v>
      </c>
      <c r="T61" s="25">
        <v>100</v>
      </c>
      <c r="U61" s="67">
        <f>SUM(C61:T61)</f>
        <v>1250</v>
      </c>
      <c r="V61" s="25">
        <v>50</v>
      </c>
      <c r="W61" s="25">
        <v>50</v>
      </c>
      <c r="X61" s="25">
        <v>50</v>
      </c>
      <c r="Y61" s="25">
        <v>50</v>
      </c>
      <c r="Z61" s="25">
        <v>100</v>
      </c>
      <c r="AA61" s="25">
        <v>50</v>
      </c>
      <c r="AB61" s="25">
        <v>50</v>
      </c>
      <c r="AC61" s="25">
        <v>50</v>
      </c>
      <c r="AD61" s="25">
        <v>50</v>
      </c>
      <c r="AE61" s="25">
        <v>50</v>
      </c>
      <c r="AF61" s="25">
        <v>100</v>
      </c>
      <c r="AG61" s="25">
        <v>100</v>
      </c>
      <c r="AH61" s="25">
        <v>100</v>
      </c>
      <c r="AI61" s="25">
        <v>600</v>
      </c>
      <c r="AJ61" s="67">
        <f>SUM(V61:AI61)</f>
        <v>1450</v>
      </c>
      <c r="AK61" s="25">
        <v>100</v>
      </c>
      <c r="AL61" s="25">
        <v>240</v>
      </c>
      <c r="AM61" s="79">
        <v>50</v>
      </c>
      <c r="AN61" s="79">
        <v>100</v>
      </c>
      <c r="AO61" s="79">
        <v>100</v>
      </c>
      <c r="AP61" s="79">
        <v>50</v>
      </c>
      <c r="AQ61" s="79">
        <v>100</v>
      </c>
      <c r="AR61" s="79">
        <v>50</v>
      </c>
      <c r="AS61" s="79">
        <v>50</v>
      </c>
      <c r="AT61" s="79">
        <v>50</v>
      </c>
      <c r="AU61" s="79">
        <v>50</v>
      </c>
      <c r="AV61" s="79">
        <v>100</v>
      </c>
      <c r="AW61" s="25"/>
      <c r="AX61" s="11">
        <f>SUM(AM61:AV61)</f>
        <v>700</v>
      </c>
      <c r="AY61" s="25"/>
      <c r="AZ61" s="25"/>
      <c r="BA61" s="25"/>
      <c r="BB61" s="11">
        <f>SUM(C61:AG61)</f>
        <v>3250</v>
      </c>
      <c r="BD61" s="87">
        <v>38991</v>
      </c>
      <c r="BE61" s="88" t="s">
        <v>146</v>
      </c>
      <c r="BF61" s="88" t="s">
        <v>157</v>
      </c>
      <c r="BG61" s="88" t="s">
        <v>14</v>
      </c>
      <c r="BH61" s="86">
        <v>50</v>
      </c>
      <c r="BI61" s="86" t="s">
        <v>176</v>
      </c>
      <c r="BK61" s="53"/>
    </row>
    <row r="62" spans="1:63" s="31" customFormat="1" x14ac:dyDescent="0.25">
      <c r="A62" s="2">
        <v>53</v>
      </c>
      <c r="B62" s="30" t="s">
        <v>291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67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67"/>
      <c r="AK62" s="25"/>
      <c r="AL62" s="25">
        <v>240</v>
      </c>
      <c r="AM62" s="79">
        <v>50</v>
      </c>
      <c r="AN62" s="79">
        <v>100</v>
      </c>
      <c r="AO62" s="79">
        <v>100</v>
      </c>
      <c r="AP62" s="79">
        <v>50</v>
      </c>
      <c r="AQ62" s="81"/>
      <c r="AR62" s="79">
        <v>50</v>
      </c>
      <c r="AS62" s="79">
        <v>50</v>
      </c>
      <c r="AT62" s="79">
        <v>50</v>
      </c>
      <c r="AU62" s="81"/>
      <c r="AV62" s="81"/>
      <c r="AW62" s="25"/>
      <c r="AX62" s="11"/>
      <c r="AY62" s="25"/>
      <c r="AZ62" s="25"/>
      <c r="BA62" s="25"/>
      <c r="BB62" s="11"/>
      <c r="BD62" s="87">
        <v>38991</v>
      </c>
      <c r="BE62" s="88" t="s">
        <v>190</v>
      </c>
      <c r="BF62" s="88" t="s">
        <v>134</v>
      </c>
      <c r="BG62" s="88"/>
      <c r="BH62" s="86">
        <v>100</v>
      </c>
      <c r="BI62" s="86" t="s">
        <v>176</v>
      </c>
      <c r="BK62" s="53"/>
    </row>
    <row r="63" spans="1:63" s="31" customFormat="1" x14ac:dyDescent="0.25">
      <c r="A63" s="25"/>
      <c r="B63" s="30" t="s">
        <v>59</v>
      </c>
      <c r="C63" s="25">
        <v>50</v>
      </c>
      <c r="D63" s="25">
        <v>100</v>
      </c>
      <c r="E63" s="25">
        <v>100</v>
      </c>
      <c r="F63" s="25">
        <v>50</v>
      </c>
      <c r="G63" s="25">
        <v>50</v>
      </c>
      <c r="H63" s="25">
        <v>50</v>
      </c>
      <c r="I63" s="25">
        <v>100</v>
      </c>
      <c r="J63" s="25">
        <v>100</v>
      </c>
      <c r="K63" s="25">
        <v>50</v>
      </c>
      <c r="L63" s="25">
        <v>50</v>
      </c>
      <c r="M63" s="25">
        <v>50</v>
      </c>
      <c r="N63" s="25">
        <v>50</v>
      </c>
      <c r="O63" s="25">
        <v>50</v>
      </c>
      <c r="P63" s="25">
        <v>100</v>
      </c>
      <c r="Q63" s="25">
        <v>50</v>
      </c>
      <c r="R63" s="25">
        <v>100</v>
      </c>
      <c r="S63" s="25">
        <v>50</v>
      </c>
      <c r="T63" s="25">
        <v>100</v>
      </c>
      <c r="U63" s="67">
        <f t="shared" si="3"/>
        <v>1250</v>
      </c>
      <c r="V63" s="25">
        <v>50</v>
      </c>
      <c r="W63" s="25">
        <v>50</v>
      </c>
      <c r="X63" s="25">
        <v>50</v>
      </c>
      <c r="Y63" s="25">
        <v>50</v>
      </c>
      <c r="Z63" s="25">
        <v>100</v>
      </c>
      <c r="AA63" s="25">
        <v>50</v>
      </c>
      <c r="AB63" s="25">
        <v>50</v>
      </c>
      <c r="AC63" s="25">
        <v>50</v>
      </c>
      <c r="AD63" s="25">
        <v>50</v>
      </c>
      <c r="AE63" s="25">
        <v>50</v>
      </c>
      <c r="AF63" s="25">
        <v>100</v>
      </c>
      <c r="AG63" s="25">
        <v>100</v>
      </c>
      <c r="AH63" s="25">
        <v>100</v>
      </c>
      <c r="AI63" s="25">
        <v>600</v>
      </c>
      <c r="AJ63" s="67">
        <f t="shared" si="0"/>
        <v>1450</v>
      </c>
      <c r="AK63" s="79">
        <v>100</v>
      </c>
      <c r="AL63" s="79">
        <v>240</v>
      </c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11">
        <f t="shared" si="1"/>
        <v>0</v>
      </c>
      <c r="AY63" s="25"/>
      <c r="AZ63" s="25"/>
      <c r="BA63" s="25"/>
      <c r="BB63" s="11">
        <f>SUM(C63:AG63)</f>
        <v>3250</v>
      </c>
      <c r="BD63" s="89">
        <v>37926</v>
      </c>
      <c r="BE63" s="90" t="s">
        <v>187</v>
      </c>
      <c r="BF63" s="90" t="s">
        <v>134</v>
      </c>
      <c r="BG63" s="90"/>
      <c r="BH63" s="91">
        <v>100</v>
      </c>
      <c r="BI63" s="86"/>
      <c r="BK63" s="53"/>
    </row>
    <row r="64" spans="1:63" s="31" customFormat="1" x14ac:dyDescent="0.25">
      <c r="A64" s="2">
        <v>54</v>
      </c>
      <c r="B64" s="7" t="s">
        <v>73</v>
      </c>
      <c r="C64" s="25">
        <v>50</v>
      </c>
      <c r="D64" s="25">
        <v>100</v>
      </c>
      <c r="E64" s="25">
        <v>100</v>
      </c>
      <c r="F64" s="25">
        <v>50</v>
      </c>
      <c r="G64" s="25">
        <v>50</v>
      </c>
      <c r="H64" s="25">
        <v>50</v>
      </c>
      <c r="I64" s="25">
        <v>100</v>
      </c>
      <c r="J64" s="25">
        <v>100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67">
        <f>SUM(C64:T64)</f>
        <v>600</v>
      </c>
      <c r="V64" s="25">
        <v>50</v>
      </c>
      <c r="W64" s="25">
        <v>50</v>
      </c>
      <c r="X64" s="25">
        <v>50</v>
      </c>
      <c r="Y64" s="25">
        <v>50</v>
      </c>
      <c r="Z64" s="25">
        <v>100</v>
      </c>
      <c r="AA64" s="25">
        <v>50</v>
      </c>
      <c r="AB64" s="25">
        <v>50</v>
      </c>
      <c r="AC64" s="25">
        <v>50</v>
      </c>
      <c r="AD64" s="25">
        <v>50</v>
      </c>
      <c r="AE64" s="25">
        <v>50</v>
      </c>
      <c r="AF64" s="25">
        <v>100</v>
      </c>
      <c r="AG64" s="25">
        <v>100</v>
      </c>
      <c r="AH64" s="25">
        <v>100</v>
      </c>
      <c r="AI64" s="25">
        <v>600</v>
      </c>
      <c r="AJ64" s="67">
        <f t="shared" ref="AJ64" si="10">SUM(V64:AI64)</f>
        <v>1450</v>
      </c>
      <c r="AK64" s="79">
        <v>100</v>
      </c>
      <c r="AL64" s="79">
        <v>240</v>
      </c>
      <c r="AM64" s="79">
        <v>50</v>
      </c>
      <c r="AN64" s="79">
        <v>100</v>
      </c>
      <c r="AO64" s="79">
        <v>100</v>
      </c>
      <c r="AP64" s="79">
        <v>50</v>
      </c>
      <c r="AQ64" s="79">
        <v>100</v>
      </c>
      <c r="AR64" s="79">
        <v>50</v>
      </c>
      <c r="AS64" s="79">
        <v>50</v>
      </c>
      <c r="AT64" s="79">
        <v>50</v>
      </c>
      <c r="AU64" s="79">
        <v>50</v>
      </c>
      <c r="AV64" s="79">
        <v>100</v>
      </c>
      <c r="AW64" s="80"/>
      <c r="AX64" s="11">
        <f t="shared" si="1"/>
        <v>700</v>
      </c>
      <c r="AY64" s="2"/>
      <c r="AZ64" s="2"/>
      <c r="BA64" s="2"/>
      <c r="BB64" s="11">
        <f>SUM(C64:AG64)</f>
        <v>1950</v>
      </c>
      <c r="BD64" s="89"/>
      <c r="BE64" s="90"/>
      <c r="BF64" s="90"/>
      <c r="BG64" s="90"/>
      <c r="BH64" s="91"/>
      <c r="BI64" s="86"/>
      <c r="BK64" s="53"/>
    </row>
    <row r="65" spans="1:63" s="31" customFormat="1" x14ac:dyDescent="0.25">
      <c r="A65" s="25">
        <v>55</v>
      </c>
      <c r="B65" s="30" t="s">
        <v>33</v>
      </c>
      <c r="C65" s="25">
        <v>50</v>
      </c>
      <c r="D65" s="25">
        <v>100</v>
      </c>
      <c r="E65" s="25">
        <v>100</v>
      </c>
      <c r="F65" s="25">
        <v>50</v>
      </c>
      <c r="G65" s="25">
        <v>50</v>
      </c>
      <c r="H65" s="25">
        <v>50</v>
      </c>
      <c r="I65" s="25">
        <v>100</v>
      </c>
      <c r="J65" s="25">
        <v>100</v>
      </c>
      <c r="K65" s="25">
        <v>50</v>
      </c>
      <c r="L65" s="25">
        <v>50</v>
      </c>
      <c r="M65" s="25">
        <v>50</v>
      </c>
      <c r="N65" s="25">
        <v>50</v>
      </c>
      <c r="O65" s="25">
        <v>50</v>
      </c>
      <c r="P65" s="25">
        <v>100</v>
      </c>
      <c r="Q65" s="25">
        <v>50</v>
      </c>
      <c r="R65" s="25">
        <v>100</v>
      </c>
      <c r="S65" s="25">
        <v>50</v>
      </c>
      <c r="T65" s="25">
        <v>100</v>
      </c>
      <c r="U65" s="67">
        <f>SUM(C65:T65)</f>
        <v>1250</v>
      </c>
      <c r="V65" s="25">
        <v>50</v>
      </c>
      <c r="W65" s="25">
        <v>50</v>
      </c>
      <c r="X65" s="25">
        <v>50</v>
      </c>
      <c r="Y65" s="25">
        <v>50</v>
      </c>
      <c r="Z65" s="25">
        <v>100</v>
      </c>
      <c r="AA65" s="25">
        <v>50</v>
      </c>
      <c r="AB65" s="25">
        <v>50</v>
      </c>
      <c r="AC65" s="25">
        <v>50</v>
      </c>
      <c r="AD65" s="25">
        <v>50</v>
      </c>
      <c r="AE65" s="25">
        <v>50</v>
      </c>
      <c r="AF65" s="25">
        <v>100</v>
      </c>
      <c r="AG65" s="25">
        <v>100</v>
      </c>
      <c r="AH65" s="25">
        <v>100</v>
      </c>
      <c r="AI65" s="63">
        <v>150</v>
      </c>
      <c r="AJ65" s="67">
        <f>SUM(V65:AI65)</f>
        <v>1000</v>
      </c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11">
        <f>SUM(AM65:AV65)</f>
        <v>0</v>
      </c>
      <c r="AY65" s="25"/>
      <c r="AZ65" s="25"/>
      <c r="BA65" s="25"/>
      <c r="BB65" s="11">
        <f>SUM(U65,AJ65)</f>
        <v>2250</v>
      </c>
      <c r="BD65" s="87">
        <v>41579</v>
      </c>
      <c r="BE65" s="88" t="s">
        <v>205</v>
      </c>
      <c r="BF65" s="88" t="s">
        <v>9</v>
      </c>
      <c r="BG65" s="88"/>
      <c r="BH65" s="92">
        <v>100</v>
      </c>
      <c r="BI65" s="92">
        <f>SUM(BH53:BH65)</f>
        <v>650</v>
      </c>
      <c r="BK65" s="53"/>
    </row>
    <row r="66" spans="1:63" s="31" customFormat="1" x14ac:dyDescent="0.25">
      <c r="A66" s="2">
        <v>56</v>
      </c>
      <c r="B66" s="30" t="s">
        <v>215</v>
      </c>
      <c r="C66" s="25">
        <v>50</v>
      </c>
      <c r="D66" s="25">
        <v>100</v>
      </c>
      <c r="E66" s="25">
        <v>100</v>
      </c>
      <c r="F66" s="25">
        <v>50</v>
      </c>
      <c r="G66" s="25">
        <v>50</v>
      </c>
      <c r="H66" s="25">
        <v>50</v>
      </c>
      <c r="I66" s="25">
        <v>100</v>
      </c>
      <c r="J66" s="25">
        <v>100</v>
      </c>
      <c r="K66" s="25">
        <v>50</v>
      </c>
      <c r="L66" s="25">
        <v>50</v>
      </c>
      <c r="M66" s="25">
        <v>50</v>
      </c>
      <c r="N66" s="25">
        <v>50</v>
      </c>
      <c r="O66" s="25">
        <v>50</v>
      </c>
      <c r="P66" s="25">
        <v>100</v>
      </c>
      <c r="Q66" s="25">
        <v>50</v>
      </c>
      <c r="R66" s="25">
        <v>100</v>
      </c>
      <c r="S66" s="25">
        <v>50</v>
      </c>
      <c r="T66" s="25">
        <v>100</v>
      </c>
      <c r="U66" s="67">
        <f>SUM(C66:T66)</f>
        <v>1250</v>
      </c>
      <c r="V66" s="25">
        <v>50</v>
      </c>
      <c r="W66" s="25">
        <v>50</v>
      </c>
      <c r="X66" s="25">
        <v>50</v>
      </c>
      <c r="Y66" s="25">
        <v>50</v>
      </c>
      <c r="Z66" s="25">
        <v>100</v>
      </c>
      <c r="AA66" s="25">
        <v>50</v>
      </c>
      <c r="AB66" s="25">
        <v>50</v>
      </c>
      <c r="AC66" s="25">
        <v>50</v>
      </c>
      <c r="AD66" s="25">
        <v>50</v>
      </c>
      <c r="AE66" s="25">
        <v>50</v>
      </c>
      <c r="AF66" s="25">
        <v>100</v>
      </c>
      <c r="AG66" s="25">
        <v>100</v>
      </c>
      <c r="AH66" s="25">
        <v>100</v>
      </c>
      <c r="AI66" s="25">
        <v>600</v>
      </c>
      <c r="AJ66" s="67">
        <f>SUM(V66:AI66)</f>
        <v>1450</v>
      </c>
      <c r="AK66" s="79">
        <v>100</v>
      </c>
      <c r="AL66" s="79">
        <v>240</v>
      </c>
      <c r="AM66" s="79">
        <v>50</v>
      </c>
      <c r="AN66" s="79">
        <v>100</v>
      </c>
      <c r="AO66" s="79">
        <v>100</v>
      </c>
      <c r="AP66" s="79">
        <v>50</v>
      </c>
      <c r="AQ66" s="79">
        <v>100</v>
      </c>
      <c r="AR66" s="79">
        <v>50</v>
      </c>
      <c r="AS66" s="79">
        <v>50</v>
      </c>
      <c r="AT66" s="79">
        <v>50</v>
      </c>
      <c r="AU66" s="79">
        <v>50</v>
      </c>
      <c r="AV66" s="79">
        <v>100</v>
      </c>
      <c r="AW66" s="79"/>
      <c r="AX66" s="11">
        <f>SUM(AM66:AV66)</f>
        <v>700</v>
      </c>
      <c r="AY66" s="25"/>
      <c r="AZ66" s="25"/>
      <c r="BA66" s="25"/>
      <c r="BB66" s="11">
        <f>SUM(C66:AG66)</f>
        <v>3250</v>
      </c>
      <c r="BD66" s="85"/>
      <c r="BE66" s="85"/>
      <c r="BF66" s="85"/>
      <c r="BG66" s="85"/>
      <c r="BH66" s="86"/>
      <c r="BI66" s="86"/>
      <c r="BK66" s="53"/>
    </row>
    <row r="67" spans="1:63" s="31" customFormat="1" x14ac:dyDescent="0.25">
      <c r="A67" s="25"/>
      <c r="B67" s="30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67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67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11">
        <f t="shared" si="1"/>
        <v>0</v>
      </c>
      <c r="AY67" s="25"/>
      <c r="AZ67" s="25"/>
      <c r="BA67" s="25"/>
      <c r="BB67" s="11"/>
      <c r="BD67" s="85"/>
      <c r="BE67" s="85" t="s">
        <v>209</v>
      </c>
      <c r="BF67" s="85"/>
      <c r="BG67" s="85"/>
      <c r="BH67" s="86">
        <v>400</v>
      </c>
      <c r="BI67" s="86"/>
      <c r="BK67" s="53"/>
    </row>
    <row r="68" spans="1:63" s="31" customFormat="1" x14ac:dyDescent="0.25">
      <c r="A68" s="2">
        <v>57</v>
      </c>
      <c r="B68" s="1" t="s">
        <v>217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9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2"/>
      <c r="AL68" s="2">
        <v>240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11">
        <f t="shared" si="1"/>
        <v>0</v>
      </c>
      <c r="AY68" s="2"/>
      <c r="AZ68" s="2"/>
      <c r="BA68" s="2"/>
      <c r="BB68" s="11">
        <f t="shared" ref="BB68:BB75" si="11">SUM(C68:AG68)</f>
        <v>0</v>
      </c>
      <c r="BD68" s="85"/>
      <c r="BE68" s="85" t="s">
        <v>210</v>
      </c>
      <c r="BF68" s="85"/>
      <c r="BG68" s="85"/>
      <c r="BH68" s="86">
        <v>200</v>
      </c>
      <c r="BI68" s="86"/>
      <c r="BK68" s="53"/>
    </row>
    <row r="69" spans="1:63" s="31" customFormat="1" x14ac:dyDescent="0.25">
      <c r="A69" s="2"/>
      <c r="B69" s="30" t="s">
        <v>68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50">
        <f t="shared" si="3"/>
        <v>0</v>
      </c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50">
        <f t="shared" si="0"/>
        <v>0</v>
      </c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11">
        <f t="shared" si="1"/>
        <v>0</v>
      </c>
      <c r="AY69" s="49"/>
      <c r="AZ69" s="49"/>
      <c r="BA69" s="49"/>
      <c r="BB69" s="50">
        <f t="shared" si="11"/>
        <v>0</v>
      </c>
      <c r="BD69" s="85"/>
      <c r="BE69" s="85"/>
      <c r="BF69" s="85"/>
      <c r="BG69" s="85"/>
      <c r="BH69" s="86"/>
      <c r="BI69" s="86"/>
      <c r="BK69" s="53"/>
    </row>
    <row r="70" spans="1:63" s="31" customFormat="1" ht="14.4" thickBot="1" x14ac:dyDescent="0.3">
      <c r="A70" s="25">
        <v>58</v>
      </c>
      <c r="B70" s="30" t="s">
        <v>77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67">
        <f t="shared" si="3"/>
        <v>0</v>
      </c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67">
        <f t="shared" si="0"/>
        <v>0</v>
      </c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11">
        <f t="shared" si="1"/>
        <v>0</v>
      </c>
      <c r="AY70" s="25"/>
      <c r="AZ70" s="25"/>
      <c r="BA70" s="25"/>
      <c r="BB70" s="11">
        <f t="shared" si="11"/>
        <v>0</v>
      </c>
      <c r="BD70" s="85"/>
      <c r="BE70" s="85"/>
      <c r="BF70" s="85"/>
      <c r="BG70" s="93" t="s">
        <v>91</v>
      </c>
      <c r="BH70" s="94">
        <f>SUM(BH53:BH68)</f>
        <v>1250</v>
      </c>
      <c r="BI70" s="95"/>
      <c r="BK70" s="53"/>
    </row>
    <row r="71" spans="1:63" s="31" customFormat="1" ht="14.4" thickTop="1" x14ac:dyDescent="0.25">
      <c r="A71" s="2">
        <v>59</v>
      </c>
      <c r="B71" s="30" t="s">
        <v>69</v>
      </c>
      <c r="C71" s="25">
        <v>50</v>
      </c>
      <c r="D71" s="25">
        <v>100</v>
      </c>
      <c r="E71" s="25">
        <v>100</v>
      </c>
      <c r="F71" s="25">
        <v>50</v>
      </c>
      <c r="G71" s="25">
        <v>50</v>
      </c>
      <c r="H71" s="25">
        <v>50</v>
      </c>
      <c r="I71" s="25">
        <v>100</v>
      </c>
      <c r="J71" s="25">
        <v>100</v>
      </c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67">
        <f t="shared" si="3"/>
        <v>600</v>
      </c>
      <c r="V71" s="25">
        <v>50</v>
      </c>
      <c r="W71" s="25">
        <v>50</v>
      </c>
      <c r="X71" s="25">
        <v>50</v>
      </c>
      <c r="Y71" s="25">
        <v>50</v>
      </c>
      <c r="Z71" s="25">
        <v>100</v>
      </c>
      <c r="AA71" s="25">
        <v>50</v>
      </c>
      <c r="AB71" s="25">
        <v>50</v>
      </c>
      <c r="AC71" s="25">
        <v>50</v>
      </c>
      <c r="AD71" s="25">
        <v>50</v>
      </c>
      <c r="AE71" s="25">
        <v>50</v>
      </c>
      <c r="AF71" s="25">
        <v>100</v>
      </c>
      <c r="AG71" s="25">
        <v>100</v>
      </c>
      <c r="AH71" s="25">
        <v>100</v>
      </c>
      <c r="AI71" s="25">
        <v>600</v>
      </c>
      <c r="AJ71" s="67">
        <f t="shared" ref="AJ71" si="12">SUM(V71:AI71)</f>
        <v>1450</v>
      </c>
      <c r="AK71" s="25">
        <v>100</v>
      </c>
      <c r="AL71" s="25">
        <v>240</v>
      </c>
      <c r="AM71" s="25">
        <v>50</v>
      </c>
      <c r="AN71" s="25">
        <v>100</v>
      </c>
      <c r="AO71" s="25">
        <v>100</v>
      </c>
      <c r="AP71" s="25">
        <v>50</v>
      </c>
      <c r="AQ71" s="25">
        <v>100</v>
      </c>
      <c r="AR71" s="25">
        <v>50</v>
      </c>
      <c r="AS71" s="25">
        <v>50</v>
      </c>
      <c r="AT71" s="25">
        <v>50</v>
      </c>
      <c r="AU71" s="25">
        <v>50</v>
      </c>
      <c r="AV71" s="25">
        <v>100</v>
      </c>
      <c r="AW71" s="25"/>
      <c r="AX71" s="11">
        <f t="shared" si="1"/>
        <v>700</v>
      </c>
      <c r="AY71" s="25"/>
      <c r="AZ71" s="25"/>
      <c r="BA71" s="25"/>
      <c r="BB71" s="11">
        <f t="shared" si="11"/>
        <v>1950</v>
      </c>
      <c r="BD71" s="85"/>
      <c r="BE71" s="85"/>
      <c r="BF71" s="85"/>
      <c r="BG71" s="85"/>
      <c r="BH71" s="86"/>
      <c r="BI71" s="86"/>
      <c r="BK71" s="53"/>
    </row>
    <row r="72" spans="1:63" x14ac:dyDescent="0.25">
      <c r="A72" s="25">
        <v>60</v>
      </c>
      <c r="B72" s="30" t="s">
        <v>70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67">
        <f t="shared" si="3"/>
        <v>0</v>
      </c>
      <c r="V72" s="25">
        <v>50</v>
      </c>
      <c r="W72" s="25">
        <v>50</v>
      </c>
      <c r="X72" s="25">
        <v>50</v>
      </c>
      <c r="Y72" s="25">
        <v>50</v>
      </c>
      <c r="Z72" s="25">
        <v>100</v>
      </c>
      <c r="AA72" s="25">
        <v>50</v>
      </c>
      <c r="AB72" s="25">
        <v>50</v>
      </c>
      <c r="AC72" s="25">
        <v>50</v>
      </c>
      <c r="AD72" s="25">
        <v>50</v>
      </c>
      <c r="AE72" s="25">
        <v>50</v>
      </c>
      <c r="AF72" s="25">
        <v>100</v>
      </c>
      <c r="AG72" s="25">
        <v>100</v>
      </c>
      <c r="AH72" s="25">
        <v>100</v>
      </c>
      <c r="AI72" s="25">
        <v>600</v>
      </c>
      <c r="AJ72" s="67">
        <f t="shared" si="0"/>
        <v>1450</v>
      </c>
      <c r="AK72" s="25">
        <v>100</v>
      </c>
      <c r="AL72" s="25"/>
      <c r="AM72" s="25">
        <v>50</v>
      </c>
      <c r="AN72" s="25">
        <v>100</v>
      </c>
      <c r="AO72" s="25">
        <v>100</v>
      </c>
      <c r="AP72" s="25">
        <v>50</v>
      </c>
      <c r="AQ72" s="25">
        <v>100</v>
      </c>
      <c r="AR72" s="25">
        <v>50</v>
      </c>
      <c r="AS72" s="25">
        <v>50</v>
      </c>
      <c r="AT72" s="25">
        <v>50</v>
      </c>
      <c r="AU72" s="25">
        <v>50</v>
      </c>
      <c r="AV72" s="25">
        <v>100</v>
      </c>
      <c r="AW72" s="25"/>
      <c r="AX72" s="11">
        <f t="shared" si="1"/>
        <v>700</v>
      </c>
      <c r="AY72" s="25"/>
      <c r="AZ72" s="25"/>
      <c r="BA72" s="25"/>
      <c r="BB72" s="11">
        <f t="shared" si="11"/>
        <v>750</v>
      </c>
      <c r="BD72" s="85"/>
      <c r="BE72" s="85"/>
      <c r="BF72" s="85"/>
      <c r="BG72" s="85"/>
      <c r="BH72" s="86">
        <v>100</v>
      </c>
      <c r="BI72" s="86"/>
    </row>
    <row r="73" spans="1:63" x14ac:dyDescent="0.25">
      <c r="A73" s="2">
        <v>61</v>
      </c>
      <c r="B73" s="1" t="s">
        <v>218</v>
      </c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9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2"/>
      <c r="AL73" s="2">
        <v>240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11">
        <f t="shared" si="1"/>
        <v>0</v>
      </c>
      <c r="AY73" s="2"/>
      <c r="AZ73" s="2"/>
      <c r="BA73" s="2"/>
      <c r="BB73" s="11">
        <f t="shared" si="11"/>
        <v>0</v>
      </c>
      <c r="BD73" s="96"/>
      <c r="BE73" s="96"/>
      <c r="BF73" s="96"/>
      <c r="BG73" s="96"/>
      <c r="BH73" s="97">
        <v>240</v>
      </c>
      <c r="BI73" s="97"/>
    </row>
    <row r="74" spans="1:63" x14ac:dyDescent="0.25">
      <c r="A74" s="25">
        <v>62</v>
      </c>
      <c r="B74" s="30" t="s">
        <v>71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67">
        <f t="shared" si="3"/>
        <v>0</v>
      </c>
      <c r="V74" s="25">
        <v>50</v>
      </c>
      <c r="W74" s="25">
        <v>50</v>
      </c>
      <c r="X74" s="25">
        <v>50</v>
      </c>
      <c r="Y74" s="25">
        <v>50</v>
      </c>
      <c r="Z74" s="25">
        <v>100</v>
      </c>
      <c r="AA74" s="25">
        <v>50</v>
      </c>
      <c r="AB74" s="25">
        <v>50</v>
      </c>
      <c r="AC74" s="25">
        <v>50</v>
      </c>
      <c r="AD74" s="25">
        <v>50</v>
      </c>
      <c r="AE74" s="25">
        <v>50</v>
      </c>
      <c r="AF74" s="25">
        <v>100</v>
      </c>
      <c r="AG74" s="25">
        <v>100</v>
      </c>
      <c r="AH74" s="25">
        <v>100</v>
      </c>
      <c r="AI74" s="25">
        <v>600</v>
      </c>
      <c r="AJ74" s="67">
        <f t="shared" ref="AJ74" si="13">SUM(V74:AI74)</f>
        <v>1450</v>
      </c>
      <c r="AK74" s="25">
        <v>100</v>
      </c>
      <c r="AL74" s="25">
        <v>240</v>
      </c>
      <c r="AM74" s="79">
        <v>50</v>
      </c>
      <c r="AN74" s="79">
        <v>100</v>
      </c>
      <c r="AO74" s="79">
        <v>100</v>
      </c>
      <c r="AP74" s="79">
        <v>50</v>
      </c>
      <c r="AQ74" s="79">
        <v>100</v>
      </c>
      <c r="AR74" s="79">
        <v>50</v>
      </c>
      <c r="AS74" s="79">
        <v>50</v>
      </c>
      <c r="AT74" s="79">
        <v>50</v>
      </c>
      <c r="AU74" s="79">
        <v>50</v>
      </c>
      <c r="AV74" s="79">
        <v>100</v>
      </c>
      <c r="AW74" s="25"/>
      <c r="AX74" s="11">
        <f t="shared" ref="AX74:AX84" si="14">SUM(AM74:AV74)</f>
        <v>700</v>
      </c>
      <c r="AY74" s="25"/>
      <c r="AZ74" s="25"/>
      <c r="BA74" s="25"/>
      <c r="BB74" s="11">
        <f t="shared" si="11"/>
        <v>750</v>
      </c>
      <c r="BD74" s="96"/>
      <c r="BE74" s="96"/>
      <c r="BF74" s="96"/>
      <c r="BG74" s="96"/>
      <c r="BH74" s="98">
        <f>SUM(BH70:BH73)</f>
        <v>1590</v>
      </c>
      <c r="BI74" s="97"/>
    </row>
    <row r="75" spans="1:63" x14ac:dyDescent="0.25">
      <c r="A75" s="2">
        <v>63</v>
      </c>
      <c r="B75" s="30" t="s">
        <v>60</v>
      </c>
      <c r="C75" s="25">
        <v>50</v>
      </c>
      <c r="D75" s="25">
        <v>100</v>
      </c>
      <c r="E75" s="25">
        <v>100</v>
      </c>
      <c r="F75" s="25">
        <v>50</v>
      </c>
      <c r="G75" s="25">
        <v>50</v>
      </c>
      <c r="H75" s="25">
        <v>50</v>
      </c>
      <c r="I75" s="25">
        <v>100</v>
      </c>
      <c r="J75" s="25">
        <v>100</v>
      </c>
      <c r="K75" s="25">
        <v>50</v>
      </c>
      <c r="L75" s="25">
        <v>50</v>
      </c>
      <c r="M75" s="25">
        <v>50</v>
      </c>
      <c r="N75" s="25">
        <v>50</v>
      </c>
      <c r="O75" s="25">
        <v>50</v>
      </c>
      <c r="P75" s="25">
        <v>100</v>
      </c>
      <c r="Q75" s="25">
        <v>50</v>
      </c>
      <c r="R75" s="25">
        <v>100</v>
      </c>
      <c r="S75" s="25">
        <v>50</v>
      </c>
      <c r="T75" s="25">
        <v>100</v>
      </c>
      <c r="U75" s="67">
        <f>SUM(C75:T75)</f>
        <v>1250</v>
      </c>
      <c r="V75" s="25">
        <v>50</v>
      </c>
      <c r="W75" s="25">
        <v>50</v>
      </c>
      <c r="X75" s="25">
        <v>50</v>
      </c>
      <c r="Y75" s="25">
        <v>50</v>
      </c>
      <c r="Z75" s="25">
        <v>100</v>
      </c>
      <c r="AA75" s="25">
        <v>50</v>
      </c>
      <c r="AB75" s="25">
        <v>50</v>
      </c>
      <c r="AC75" s="25">
        <v>50</v>
      </c>
      <c r="AD75" s="25">
        <v>50</v>
      </c>
      <c r="AE75" s="25">
        <v>50</v>
      </c>
      <c r="AF75" s="25">
        <v>100</v>
      </c>
      <c r="AG75" s="25">
        <v>100</v>
      </c>
      <c r="AH75" s="25">
        <v>100</v>
      </c>
      <c r="AI75" s="25">
        <v>600</v>
      </c>
      <c r="AJ75" s="67">
        <f>SUM(V75:AI75)</f>
        <v>1450</v>
      </c>
      <c r="AK75" s="25">
        <v>100</v>
      </c>
      <c r="AL75" s="25">
        <v>240</v>
      </c>
      <c r="AM75" s="79">
        <v>50</v>
      </c>
      <c r="AN75" s="79">
        <v>100</v>
      </c>
      <c r="AO75" s="79">
        <v>100</v>
      </c>
      <c r="AP75" s="79">
        <v>50</v>
      </c>
      <c r="AQ75" s="79">
        <v>100</v>
      </c>
      <c r="AR75" s="79">
        <v>50</v>
      </c>
      <c r="AS75" s="79">
        <v>50</v>
      </c>
      <c r="AT75" s="79">
        <v>50</v>
      </c>
      <c r="AU75" s="79">
        <v>50</v>
      </c>
      <c r="AV75" s="79">
        <v>100</v>
      </c>
      <c r="AW75" s="25"/>
      <c r="AX75" s="11">
        <f t="shared" si="14"/>
        <v>700</v>
      </c>
      <c r="AY75" s="25"/>
      <c r="AZ75" s="25"/>
      <c r="BA75" s="25"/>
      <c r="BB75" s="11">
        <f t="shared" si="11"/>
        <v>3250</v>
      </c>
    </row>
    <row r="76" spans="1:63" s="31" customFormat="1" x14ac:dyDescent="0.25">
      <c r="A76" s="6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67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67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11">
        <f t="shared" si="14"/>
        <v>0</v>
      </c>
      <c r="AY76" s="2"/>
      <c r="AZ76" s="2"/>
      <c r="BA76" s="2"/>
      <c r="BB76" s="11"/>
      <c r="BH76" s="68"/>
      <c r="BI76" s="38"/>
      <c r="BK76" s="53"/>
    </row>
    <row r="77" spans="1:63" x14ac:dyDescent="0.25">
      <c r="A77" s="25"/>
      <c r="B77" s="30" t="s">
        <v>62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67">
        <f t="shared" ref="U77:U84" si="15">SUM(C77:T77)</f>
        <v>0</v>
      </c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50">
        <f t="shared" ref="AJ77:AJ84" si="16">SUM(V77:AI77)</f>
        <v>0</v>
      </c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11">
        <f t="shared" si="14"/>
        <v>0</v>
      </c>
      <c r="AY77" s="49"/>
      <c r="AZ77" s="49"/>
      <c r="BA77" s="49"/>
      <c r="BB77" s="50">
        <f>SUM(C77:AG77)</f>
        <v>0</v>
      </c>
      <c r="BD77" s="31"/>
      <c r="BE77" s="31"/>
      <c r="BF77" s="31"/>
      <c r="BG77" s="31"/>
      <c r="BH77" s="38"/>
      <c r="BI77" s="38"/>
    </row>
    <row r="78" spans="1:63" x14ac:dyDescent="0.25">
      <c r="A78" s="25">
        <v>64</v>
      </c>
      <c r="B78" s="30" t="s">
        <v>66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67">
        <f t="shared" ref="U78:U83" si="17">SUM(C78:T78)</f>
        <v>0</v>
      </c>
      <c r="V78" s="25">
        <v>50</v>
      </c>
      <c r="W78" s="25">
        <v>50</v>
      </c>
      <c r="X78" s="25">
        <v>50</v>
      </c>
      <c r="Y78" s="25">
        <v>50</v>
      </c>
      <c r="Z78" s="25">
        <v>100</v>
      </c>
      <c r="AA78" s="25">
        <v>50</v>
      </c>
      <c r="AB78" s="25">
        <v>50</v>
      </c>
      <c r="AC78" s="25">
        <v>50</v>
      </c>
      <c r="AD78" s="25">
        <v>50</v>
      </c>
      <c r="AE78" s="25">
        <v>50</v>
      </c>
      <c r="AF78" s="25">
        <v>100</v>
      </c>
      <c r="AG78" s="25">
        <v>100</v>
      </c>
      <c r="AH78" s="25">
        <v>100</v>
      </c>
      <c r="AI78" s="25">
        <v>600</v>
      </c>
      <c r="AJ78" s="67">
        <f t="shared" ref="AJ78:AJ83" si="18">SUM(V78:AI78)</f>
        <v>1450</v>
      </c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11">
        <f t="shared" si="14"/>
        <v>0</v>
      </c>
      <c r="AY78" s="25"/>
      <c r="AZ78" s="25"/>
      <c r="BA78" s="25"/>
      <c r="BB78" s="11">
        <f>SUM(C78:AG78)</f>
        <v>750</v>
      </c>
      <c r="BD78" s="72" t="s">
        <v>248</v>
      </c>
      <c r="BE78" s="9" t="s">
        <v>249</v>
      </c>
      <c r="BF78" s="9" t="s">
        <v>2</v>
      </c>
      <c r="BG78" s="9" t="s">
        <v>6</v>
      </c>
      <c r="BH78" s="10">
        <v>50</v>
      </c>
    </row>
    <row r="79" spans="1:63" x14ac:dyDescent="0.25">
      <c r="A79" s="25">
        <v>65</v>
      </c>
      <c r="B79" s="30" t="s">
        <v>48</v>
      </c>
      <c r="C79" s="49">
        <v>50</v>
      </c>
      <c r="D79" s="49">
        <v>100</v>
      </c>
      <c r="E79" s="49">
        <v>100</v>
      </c>
      <c r="F79" s="49">
        <v>50</v>
      </c>
      <c r="G79" s="49">
        <v>50</v>
      </c>
      <c r="H79" s="49">
        <v>50</v>
      </c>
      <c r="I79" s="49">
        <v>100</v>
      </c>
      <c r="J79" s="49">
        <v>100</v>
      </c>
      <c r="K79" s="49">
        <v>50</v>
      </c>
      <c r="L79" s="49">
        <v>50</v>
      </c>
      <c r="M79" s="49">
        <v>50</v>
      </c>
      <c r="N79" s="49">
        <v>50</v>
      </c>
      <c r="O79" s="49">
        <v>50</v>
      </c>
      <c r="P79" s="49">
        <v>100</v>
      </c>
      <c r="Q79" s="49">
        <v>50</v>
      </c>
      <c r="R79" s="49">
        <v>100</v>
      </c>
      <c r="S79" s="49">
        <v>50</v>
      </c>
      <c r="T79" s="49">
        <v>100</v>
      </c>
      <c r="U79" s="50">
        <f t="shared" si="17"/>
        <v>1250</v>
      </c>
      <c r="V79" s="49">
        <v>50</v>
      </c>
      <c r="W79" s="49">
        <v>50</v>
      </c>
      <c r="X79" s="49">
        <v>50</v>
      </c>
      <c r="Y79" s="49">
        <v>50</v>
      </c>
      <c r="Z79" s="49">
        <v>100</v>
      </c>
      <c r="AA79" s="49">
        <v>50</v>
      </c>
      <c r="AB79" s="49">
        <v>50</v>
      </c>
      <c r="AC79" s="49">
        <v>50</v>
      </c>
      <c r="AD79" s="49">
        <v>50</v>
      </c>
      <c r="AE79" s="49">
        <v>50</v>
      </c>
      <c r="AF79" s="49">
        <v>100</v>
      </c>
      <c r="AG79" s="49">
        <v>100</v>
      </c>
      <c r="AH79" s="49">
        <v>100</v>
      </c>
      <c r="AI79" s="49">
        <v>600</v>
      </c>
      <c r="AJ79" s="50">
        <f t="shared" si="18"/>
        <v>1450</v>
      </c>
      <c r="AK79" s="49">
        <v>100</v>
      </c>
      <c r="AL79" s="49">
        <v>240</v>
      </c>
      <c r="AM79" s="99">
        <v>50</v>
      </c>
      <c r="AN79" s="99">
        <v>100</v>
      </c>
      <c r="AO79" s="99">
        <v>100</v>
      </c>
      <c r="AP79" s="99">
        <v>50</v>
      </c>
      <c r="AQ79" s="99">
        <v>100</v>
      </c>
      <c r="AR79" s="99">
        <v>50</v>
      </c>
      <c r="AS79" s="99">
        <v>50</v>
      </c>
      <c r="AT79" s="99">
        <v>50</v>
      </c>
      <c r="AU79" s="99">
        <v>50</v>
      </c>
      <c r="AV79" s="99">
        <v>100</v>
      </c>
      <c r="AW79" s="49"/>
      <c r="AX79" s="50">
        <f t="shared" si="14"/>
        <v>700</v>
      </c>
      <c r="AY79" s="25"/>
      <c r="AZ79" s="25"/>
      <c r="BA79" s="25"/>
      <c r="BB79" s="11">
        <f>SUM(U79,AJ79)</f>
        <v>2700</v>
      </c>
      <c r="BC79" s="18"/>
      <c r="BD79" s="9" t="s">
        <v>248</v>
      </c>
      <c r="BE79" s="9" t="s">
        <v>250</v>
      </c>
      <c r="BF79" s="9" t="s">
        <v>2</v>
      </c>
      <c r="BH79" s="10">
        <v>50</v>
      </c>
    </row>
    <row r="80" spans="1:63" x14ac:dyDescent="0.25">
      <c r="A80" s="25">
        <v>66</v>
      </c>
      <c r="B80" s="30" t="s">
        <v>51</v>
      </c>
      <c r="C80" s="25">
        <v>50</v>
      </c>
      <c r="D80" s="25">
        <v>100</v>
      </c>
      <c r="E80" s="25">
        <v>100</v>
      </c>
      <c r="F80" s="25">
        <v>50</v>
      </c>
      <c r="G80" s="25">
        <v>50</v>
      </c>
      <c r="H80" s="25">
        <v>50</v>
      </c>
      <c r="I80" s="25">
        <v>100</v>
      </c>
      <c r="J80" s="25">
        <v>100</v>
      </c>
      <c r="K80" s="25">
        <v>50</v>
      </c>
      <c r="L80" s="25">
        <v>50</v>
      </c>
      <c r="M80" s="25">
        <v>50</v>
      </c>
      <c r="N80" s="25">
        <v>50</v>
      </c>
      <c r="O80" s="25">
        <v>50</v>
      </c>
      <c r="P80" s="25">
        <v>100</v>
      </c>
      <c r="Q80" s="25">
        <v>50</v>
      </c>
      <c r="R80" s="25">
        <v>100</v>
      </c>
      <c r="S80" s="25">
        <v>50</v>
      </c>
      <c r="T80" s="25">
        <v>100</v>
      </c>
      <c r="U80" s="67">
        <f t="shared" si="17"/>
        <v>1250</v>
      </c>
      <c r="V80" s="25">
        <v>50</v>
      </c>
      <c r="W80" s="25">
        <v>50</v>
      </c>
      <c r="X80" s="25">
        <v>50</v>
      </c>
      <c r="Y80" s="25">
        <v>50</v>
      </c>
      <c r="Z80" s="25">
        <v>100</v>
      </c>
      <c r="AA80" s="25">
        <v>50</v>
      </c>
      <c r="AB80" s="25">
        <v>50</v>
      </c>
      <c r="AC80" s="25">
        <v>50</v>
      </c>
      <c r="AD80" s="25">
        <v>50</v>
      </c>
      <c r="AE80" s="25">
        <v>50</v>
      </c>
      <c r="AF80" s="25">
        <v>100</v>
      </c>
      <c r="AG80" s="25">
        <v>100</v>
      </c>
      <c r="AH80" s="25">
        <v>100</v>
      </c>
      <c r="AI80" s="25">
        <v>600</v>
      </c>
      <c r="AJ80" s="67">
        <f t="shared" si="18"/>
        <v>1450</v>
      </c>
      <c r="AK80" s="25">
        <v>100</v>
      </c>
      <c r="AL80" s="25">
        <v>240</v>
      </c>
      <c r="AM80" s="79">
        <v>50</v>
      </c>
      <c r="AN80" s="79">
        <v>100</v>
      </c>
      <c r="AO80" s="79">
        <v>100</v>
      </c>
      <c r="AP80" s="79">
        <v>50</v>
      </c>
      <c r="AQ80" s="79">
        <v>100</v>
      </c>
      <c r="AR80" s="79">
        <v>50</v>
      </c>
      <c r="AS80" s="79">
        <v>50</v>
      </c>
      <c r="AT80" s="79">
        <v>50</v>
      </c>
      <c r="AU80" s="79">
        <v>50</v>
      </c>
      <c r="AV80" s="79">
        <v>100</v>
      </c>
      <c r="AW80" s="25"/>
      <c r="AX80" s="11">
        <f t="shared" si="14"/>
        <v>700</v>
      </c>
      <c r="AY80" s="25"/>
      <c r="AZ80" s="25"/>
      <c r="BA80" s="25"/>
      <c r="BB80" s="11">
        <f>SUM(U80,AJ80)</f>
        <v>2700</v>
      </c>
      <c r="BE80" s="9" t="s">
        <v>251</v>
      </c>
      <c r="BF80" s="9" t="s">
        <v>134</v>
      </c>
      <c r="BH80" s="10">
        <v>100</v>
      </c>
    </row>
    <row r="81" spans="1:60" x14ac:dyDescent="0.25">
      <c r="A81" s="25">
        <v>67</v>
      </c>
      <c r="B81" s="30" t="s">
        <v>42</v>
      </c>
      <c r="C81" s="25">
        <v>50</v>
      </c>
      <c r="D81" s="25">
        <v>100</v>
      </c>
      <c r="E81" s="25">
        <v>100</v>
      </c>
      <c r="F81" s="25">
        <v>50</v>
      </c>
      <c r="G81" s="25">
        <v>50</v>
      </c>
      <c r="H81" s="25">
        <v>50</v>
      </c>
      <c r="I81" s="25">
        <v>100</v>
      </c>
      <c r="J81" s="25">
        <v>100</v>
      </c>
      <c r="K81" s="25">
        <v>50</v>
      </c>
      <c r="L81" s="25">
        <v>50</v>
      </c>
      <c r="M81" s="25">
        <v>50</v>
      </c>
      <c r="N81" s="25">
        <v>50</v>
      </c>
      <c r="O81" s="25">
        <v>50</v>
      </c>
      <c r="P81" s="25">
        <v>100</v>
      </c>
      <c r="Q81" s="25">
        <v>50</v>
      </c>
      <c r="R81" s="25">
        <v>100</v>
      </c>
      <c r="S81" s="25">
        <v>50</v>
      </c>
      <c r="T81" s="25">
        <v>100</v>
      </c>
      <c r="U81" s="67">
        <f t="shared" si="17"/>
        <v>1250</v>
      </c>
      <c r="V81" s="25">
        <v>50</v>
      </c>
      <c r="W81" s="25">
        <v>50</v>
      </c>
      <c r="X81" s="25">
        <v>50</v>
      </c>
      <c r="Y81" s="25">
        <v>50</v>
      </c>
      <c r="Z81" s="25">
        <v>100</v>
      </c>
      <c r="AA81" s="25">
        <v>50</v>
      </c>
      <c r="AB81" s="25">
        <v>50</v>
      </c>
      <c r="AC81" s="25">
        <v>50</v>
      </c>
      <c r="AD81" s="25">
        <v>50</v>
      </c>
      <c r="AE81" s="25">
        <v>50</v>
      </c>
      <c r="AF81" s="25">
        <v>100</v>
      </c>
      <c r="AG81" s="25">
        <v>100</v>
      </c>
      <c r="AH81" s="25">
        <v>100</v>
      </c>
      <c r="AI81" s="25">
        <v>600</v>
      </c>
      <c r="AJ81" s="67">
        <f t="shared" si="18"/>
        <v>1450</v>
      </c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11">
        <f t="shared" si="14"/>
        <v>0</v>
      </c>
      <c r="AY81" s="25"/>
      <c r="AZ81" s="25"/>
      <c r="BA81" s="25"/>
      <c r="BB81" s="11">
        <f>SUM(U81,AJ81)</f>
        <v>2700</v>
      </c>
      <c r="BD81" s="9" t="s">
        <v>252</v>
      </c>
      <c r="BE81" s="9" t="s">
        <v>253</v>
      </c>
      <c r="BF81" s="9" t="s">
        <v>2</v>
      </c>
      <c r="BG81" s="9" t="s">
        <v>1</v>
      </c>
      <c r="BH81" s="10">
        <v>50</v>
      </c>
    </row>
    <row r="82" spans="1:60" x14ac:dyDescent="0.25">
      <c r="A82" s="25">
        <v>68</v>
      </c>
      <c r="B82" s="30" t="s">
        <v>55</v>
      </c>
      <c r="C82" s="25">
        <v>50</v>
      </c>
      <c r="D82" s="25">
        <v>100</v>
      </c>
      <c r="E82" s="25">
        <v>100</v>
      </c>
      <c r="F82" s="25">
        <v>50</v>
      </c>
      <c r="G82" s="25">
        <v>50</v>
      </c>
      <c r="H82" s="25">
        <v>50</v>
      </c>
      <c r="I82" s="25">
        <v>100</v>
      </c>
      <c r="J82" s="25">
        <v>100</v>
      </c>
      <c r="K82" s="25">
        <v>50</v>
      </c>
      <c r="L82" s="25">
        <v>50</v>
      </c>
      <c r="M82" s="25">
        <v>50</v>
      </c>
      <c r="N82" s="25">
        <v>50</v>
      </c>
      <c r="O82" s="25">
        <v>50</v>
      </c>
      <c r="P82" s="25">
        <v>100</v>
      </c>
      <c r="Q82" s="25">
        <v>50</v>
      </c>
      <c r="R82" s="25">
        <v>100</v>
      </c>
      <c r="S82" s="25">
        <v>50</v>
      </c>
      <c r="T82" s="25">
        <v>100</v>
      </c>
      <c r="U82" s="67">
        <f t="shared" si="17"/>
        <v>1250</v>
      </c>
      <c r="V82" s="25">
        <v>50</v>
      </c>
      <c r="W82" s="25">
        <v>50</v>
      </c>
      <c r="X82" s="25">
        <v>50</v>
      </c>
      <c r="Y82" s="25">
        <v>50</v>
      </c>
      <c r="Z82" s="25">
        <v>100</v>
      </c>
      <c r="AA82" s="25">
        <v>50</v>
      </c>
      <c r="AB82" s="25">
        <v>50</v>
      </c>
      <c r="AC82" s="25">
        <v>50</v>
      </c>
      <c r="AD82" s="25">
        <v>50</v>
      </c>
      <c r="AE82" s="25">
        <v>50</v>
      </c>
      <c r="AF82" s="25">
        <v>100</v>
      </c>
      <c r="AG82" s="25">
        <v>100</v>
      </c>
      <c r="AH82" s="25">
        <v>100</v>
      </c>
      <c r="AI82" s="25">
        <v>600</v>
      </c>
      <c r="AJ82" s="67">
        <f t="shared" si="18"/>
        <v>1450</v>
      </c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11">
        <f t="shared" si="14"/>
        <v>0</v>
      </c>
      <c r="AY82" s="25"/>
      <c r="AZ82" s="25"/>
      <c r="BA82" s="25"/>
      <c r="BB82" s="11">
        <f>SUM(U82,AJ82)</f>
        <v>2700</v>
      </c>
      <c r="BD82" s="9" t="s">
        <v>260</v>
      </c>
      <c r="BE82" s="9" t="s">
        <v>254</v>
      </c>
      <c r="BF82" s="9" t="s">
        <v>5</v>
      </c>
      <c r="BH82" s="10">
        <v>50</v>
      </c>
    </row>
    <row r="83" spans="1:60" x14ac:dyDescent="0.25">
      <c r="A83" s="25">
        <v>69</v>
      </c>
      <c r="B83" s="7" t="s">
        <v>72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67">
        <f t="shared" si="17"/>
        <v>0</v>
      </c>
      <c r="V83" s="25">
        <v>50</v>
      </c>
      <c r="W83" s="25">
        <v>50</v>
      </c>
      <c r="X83" s="25">
        <v>50</v>
      </c>
      <c r="Y83" s="25">
        <v>50</v>
      </c>
      <c r="Z83" s="25">
        <v>100</v>
      </c>
      <c r="AA83" s="25">
        <v>50</v>
      </c>
      <c r="AB83" s="25">
        <v>50</v>
      </c>
      <c r="AC83" s="25">
        <v>50</v>
      </c>
      <c r="AD83" s="25">
        <v>50</v>
      </c>
      <c r="AE83" s="25">
        <v>50</v>
      </c>
      <c r="AF83" s="25">
        <v>100</v>
      </c>
      <c r="AG83" s="25">
        <v>100</v>
      </c>
      <c r="AH83" s="25">
        <v>100</v>
      </c>
      <c r="AI83" s="25">
        <v>600</v>
      </c>
      <c r="AJ83" s="67">
        <f t="shared" si="18"/>
        <v>1450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11">
        <f t="shared" si="14"/>
        <v>0</v>
      </c>
      <c r="AY83" s="2"/>
      <c r="AZ83" s="2"/>
      <c r="BA83" s="2"/>
      <c r="BB83" s="11">
        <f>SUM(C83:AG83)</f>
        <v>750</v>
      </c>
      <c r="BD83" s="9" t="s">
        <v>255</v>
      </c>
      <c r="BE83" s="9" t="s">
        <v>256</v>
      </c>
      <c r="BF83" s="9" t="s">
        <v>134</v>
      </c>
      <c r="BH83" s="10">
        <v>100</v>
      </c>
    </row>
    <row r="84" spans="1:60" x14ac:dyDescent="0.25">
      <c r="A84" s="25">
        <v>70</v>
      </c>
      <c r="B84" s="7" t="s">
        <v>63</v>
      </c>
      <c r="C84" s="25">
        <v>50</v>
      </c>
      <c r="D84" s="25">
        <v>100</v>
      </c>
      <c r="E84" s="25">
        <v>100</v>
      </c>
      <c r="F84" s="25">
        <v>50</v>
      </c>
      <c r="G84" s="25">
        <v>50</v>
      </c>
      <c r="H84" s="25">
        <v>50</v>
      </c>
      <c r="I84" s="25">
        <v>100</v>
      </c>
      <c r="J84" s="25">
        <v>100</v>
      </c>
      <c r="K84" s="25">
        <v>50</v>
      </c>
      <c r="L84" s="25">
        <v>50</v>
      </c>
      <c r="M84" s="25">
        <v>50</v>
      </c>
      <c r="N84" s="25">
        <v>50</v>
      </c>
      <c r="O84" s="25">
        <v>50</v>
      </c>
      <c r="P84" s="25">
        <v>100</v>
      </c>
      <c r="Q84" s="25">
        <v>50</v>
      </c>
      <c r="R84" s="25">
        <v>100</v>
      </c>
      <c r="S84" s="25">
        <v>50</v>
      </c>
      <c r="T84" s="25">
        <v>100</v>
      </c>
      <c r="U84" s="67">
        <f t="shared" si="15"/>
        <v>1250</v>
      </c>
      <c r="V84" s="25">
        <v>50</v>
      </c>
      <c r="W84" s="25">
        <v>50</v>
      </c>
      <c r="X84" s="25">
        <v>50</v>
      </c>
      <c r="Y84" s="25">
        <v>50</v>
      </c>
      <c r="Z84" s="25">
        <v>100</v>
      </c>
      <c r="AA84" s="25">
        <v>50</v>
      </c>
      <c r="AB84" s="25">
        <v>50</v>
      </c>
      <c r="AC84" s="25">
        <v>50</v>
      </c>
      <c r="AD84" s="25">
        <v>50</v>
      </c>
      <c r="AE84" s="25">
        <v>50</v>
      </c>
      <c r="AF84" s="25">
        <v>100</v>
      </c>
      <c r="AG84" s="25">
        <v>100</v>
      </c>
      <c r="AH84" s="25">
        <v>100</v>
      </c>
      <c r="AI84" s="25">
        <v>600</v>
      </c>
      <c r="AJ84" s="67">
        <f t="shared" si="16"/>
        <v>1450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11">
        <f t="shared" si="14"/>
        <v>0</v>
      </c>
      <c r="AY84" s="2"/>
      <c r="AZ84" s="2"/>
      <c r="BA84" s="2"/>
      <c r="BB84" s="11">
        <f t="shared" ref="BB84" si="19">SUM(C84:AG84)</f>
        <v>3250</v>
      </c>
      <c r="BD84" s="9" t="s">
        <v>255</v>
      </c>
      <c r="BE84" s="9" t="s">
        <v>257</v>
      </c>
      <c r="BF84" s="9" t="s">
        <v>134</v>
      </c>
      <c r="BH84" s="10">
        <v>100</v>
      </c>
    </row>
    <row r="85" spans="1:60" x14ac:dyDescent="0.25">
      <c r="B85" s="16" t="s">
        <v>91</v>
      </c>
      <c r="C85" s="17">
        <f>SUM(C5:C84)</f>
        <v>2750</v>
      </c>
      <c r="D85" s="17">
        <f>SUM(D5:D84)</f>
        <v>5500</v>
      </c>
      <c r="E85" s="17">
        <f>SUM(E5:E84)</f>
        <v>5500</v>
      </c>
      <c r="F85" s="17">
        <f>SUM(F5:F84)</f>
        <v>2750</v>
      </c>
      <c r="G85" s="10">
        <v>600</v>
      </c>
      <c r="H85" s="10">
        <v>9000</v>
      </c>
      <c r="T85" s="10">
        <v>600</v>
      </c>
      <c r="BD85" s="73" t="s">
        <v>258</v>
      </c>
      <c r="BE85" s="9" t="s">
        <v>259</v>
      </c>
      <c r="BF85" s="9" t="s">
        <v>2</v>
      </c>
      <c r="BG85" s="9" t="s">
        <v>6</v>
      </c>
      <c r="BH85" s="10">
        <v>50</v>
      </c>
    </row>
    <row r="86" spans="1:60" x14ac:dyDescent="0.25">
      <c r="BD86" s="9" t="s">
        <v>261</v>
      </c>
      <c r="BE86" s="9" t="s">
        <v>262</v>
      </c>
      <c r="BF86" s="9" t="s">
        <v>263</v>
      </c>
    </row>
    <row r="87" spans="1:60" x14ac:dyDescent="0.25">
      <c r="A87" s="2">
        <v>1</v>
      </c>
      <c r="B87" s="1" t="s">
        <v>219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39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>
        <v>240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>
        <v>200</v>
      </c>
      <c r="BB87" s="2"/>
      <c r="BE87" s="9" t="s">
        <v>268</v>
      </c>
      <c r="BF87" s="9" t="s">
        <v>264</v>
      </c>
      <c r="BH87" s="10">
        <v>100</v>
      </c>
    </row>
    <row r="88" spans="1:60" x14ac:dyDescent="0.25">
      <c r="A88" s="2">
        <v>2</v>
      </c>
      <c r="B88" s="1" t="s">
        <v>220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3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>
        <v>240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>
        <v>200</v>
      </c>
      <c r="BB88" s="2"/>
      <c r="BE88" s="9" t="s">
        <v>265</v>
      </c>
      <c r="BF88" s="9" t="s">
        <v>2</v>
      </c>
      <c r="BG88" s="9" t="s">
        <v>11</v>
      </c>
      <c r="BH88" s="10">
        <v>50</v>
      </c>
    </row>
    <row r="89" spans="1:60" x14ac:dyDescent="0.25">
      <c r="A89" s="2">
        <v>3</v>
      </c>
      <c r="B89" s="1" t="s">
        <v>221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39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>
        <v>240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>
        <v>200</v>
      </c>
      <c r="BB89" s="2"/>
      <c r="BH89" s="74">
        <f>SUM(BH78:BH88)</f>
        <v>700</v>
      </c>
    </row>
    <row r="90" spans="1:60" x14ac:dyDescent="0.25">
      <c r="A90" s="2">
        <v>4</v>
      </c>
      <c r="B90" s="1" t="s">
        <v>222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3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>
        <v>240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>
        <v>200</v>
      </c>
      <c r="BB90" s="2"/>
      <c r="BE90" s="9" t="s">
        <v>266</v>
      </c>
      <c r="BH90" s="75">
        <v>100</v>
      </c>
    </row>
    <row r="91" spans="1:60" ht="14.4" thickBot="1" x14ac:dyDescent="0.3">
      <c r="A91" s="2">
        <v>5</v>
      </c>
      <c r="B91" s="1" t="s">
        <v>223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39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>
        <v>240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>
        <v>200</v>
      </c>
      <c r="BB91" s="2"/>
      <c r="BE91" s="15" t="s">
        <v>267</v>
      </c>
      <c r="BF91" s="15"/>
      <c r="BG91" s="15"/>
      <c r="BH91" s="76">
        <f>SUM(BH89+BH90)</f>
        <v>800</v>
      </c>
    </row>
    <row r="92" spans="1:60" ht="14.4" thickTop="1" x14ac:dyDescent="0.25">
      <c r="A92" s="2">
        <v>6</v>
      </c>
      <c r="B92" s="1" t="s">
        <v>224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3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>
        <v>240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>
        <v>200</v>
      </c>
      <c r="BB92" s="2"/>
    </row>
    <row r="93" spans="1:60" x14ac:dyDescent="0.25">
      <c r="A93" s="2">
        <v>7</v>
      </c>
      <c r="B93" s="1" t="s">
        <v>226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39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>
        <v>240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>
        <v>200</v>
      </c>
      <c r="BB93" s="2"/>
    </row>
    <row r="94" spans="1:60" x14ac:dyDescent="0.25">
      <c r="A94" s="2">
        <v>8</v>
      </c>
      <c r="B94" s="1" t="s">
        <v>227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3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>
        <v>240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>
        <v>200</v>
      </c>
      <c r="BB94" s="2"/>
    </row>
    <row r="95" spans="1:60" x14ac:dyDescent="0.25">
      <c r="A95" s="2">
        <v>9</v>
      </c>
      <c r="B95" s="1" t="s">
        <v>228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39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>
        <v>240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>
        <v>200</v>
      </c>
      <c r="BB95" s="2"/>
      <c r="BE95" s="9" t="s">
        <v>301</v>
      </c>
      <c r="BF95" s="9" t="s">
        <v>156</v>
      </c>
      <c r="BH95" s="10">
        <v>50</v>
      </c>
    </row>
    <row r="96" spans="1:60" x14ac:dyDescent="0.25">
      <c r="A96" s="2">
        <v>10</v>
      </c>
      <c r="B96" s="1" t="s">
        <v>229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3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>
        <v>240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>
        <v>200</v>
      </c>
      <c r="BB96" s="2"/>
      <c r="BE96" s="9" t="s">
        <v>270</v>
      </c>
      <c r="BH96" s="10">
        <v>50</v>
      </c>
    </row>
    <row r="97" spans="1:60" x14ac:dyDescent="0.25">
      <c r="A97" s="2">
        <v>11</v>
      </c>
      <c r="B97" s="1" t="s">
        <v>231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3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>
        <v>240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>
        <v>200</v>
      </c>
      <c r="BB97" s="2"/>
      <c r="BE97" s="9" t="s">
        <v>271</v>
      </c>
      <c r="BH97" s="10">
        <v>100</v>
      </c>
    </row>
    <row r="98" spans="1:60" x14ac:dyDescent="0.25">
      <c r="A98" s="2">
        <v>12</v>
      </c>
      <c r="B98" s="1" t="s">
        <v>232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3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>
        <v>240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>
        <v>200</v>
      </c>
      <c r="BB98" s="2"/>
      <c r="BD98" s="73" t="s">
        <v>296</v>
      </c>
      <c r="BE98" s="9" t="s">
        <v>295</v>
      </c>
      <c r="BF98" s="9" t="s">
        <v>297</v>
      </c>
      <c r="BG98" s="9" t="s">
        <v>11</v>
      </c>
      <c r="BH98" s="10">
        <v>50</v>
      </c>
    </row>
    <row r="99" spans="1:60" x14ac:dyDescent="0.25">
      <c r="A99" s="2">
        <v>13</v>
      </c>
      <c r="B99" s="1" t="s">
        <v>233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3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>
        <v>240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>
        <v>200</v>
      </c>
      <c r="BB99" s="2"/>
      <c r="BE99" s="9" t="s">
        <v>298</v>
      </c>
    </row>
    <row r="100" spans="1:60" x14ac:dyDescent="0.25">
      <c r="A100" s="2">
        <v>14</v>
      </c>
      <c r="B100" s="1" t="s">
        <v>234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3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>
        <v>240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>
        <v>200</v>
      </c>
      <c r="BB100" s="2"/>
      <c r="BE100" s="9" t="s">
        <v>299</v>
      </c>
      <c r="BF100" s="9" t="s">
        <v>156</v>
      </c>
      <c r="BH100" s="10">
        <v>50</v>
      </c>
    </row>
    <row r="101" spans="1:60" x14ac:dyDescent="0.25">
      <c r="A101" s="2">
        <v>15</v>
      </c>
      <c r="B101" s="1" t="s">
        <v>236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39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>
        <v>240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>
        <v>200</v>
      </c>
      <c r="BB101" s="2"/>
      <c r="BE101" s="9" t="s">
        <v>300</v>
      </c>
      <c r="BF101" s="9" t="s">
        <v>156</v>
      </c>
      <c r="BH101" s="10">
        <v>50</v>
      </c>
    </row>
    <row r="102" spans="1:60" x14ac:dyDescent="0.25">
      <c r="A102" s="2">
        <v>16</v>
      </c>
      <c r="B102" s="1" t="s">
        <v>238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3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>
        <v>240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>
        <v>200</v>
      </c>
      <c r="BB102" s="2"/>
      <c r="BE102" s="9" t="s">
        <v>302</v>
      </c>
      <c r="BF102" s="9" t="s">
        <v>297</v>
      </c>
      <c r="BH102" s="10">
        <v>50</v>
      </c>
    </row>
    <row r="103" spans="1:60" x14ac:dyDescent="0.25">
      <c r="A103" s="2">
        <v>17</v>
      </c>
      <c r="B103" s="1" t="s">
        <v>239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39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>
        <v>240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>
        <v>200</v>
      </c>
      <c r="BB103" s="2"/>
    </row>
    <row r="104" spans="1:60" x14ac:dyDescent="0.25">
      <c r="A104" s="2">
        <v>18</v>
      </c>
      <c r="B104" s="1" t="s">
        <v>240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3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>
        <v>240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>
        <v>200</v>
      </c>
      <c r="BB104" s="2"/>
    </row>
    <row r="105" spans="1:60" x14ac:dyDescent="0.25">
      <c r="A105" s="2">
        <v>19</v>
      </c>
      <c r="B105" s="1" t="s">
        <v>241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39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>
        <v>240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>
        <v>200</v>
      </c>
      <c r="BB105" s="2"/>
      <c r="BE105" s="15" t="s">
        <v>91</v>
      </c>
      <c r="BH105" s="16">
        <f>SUM(BH95:BH102)</f>
        <v>400</v>
      </c>
    </row>
    <row r="106" spans="1:60" x14ac:dyDescent="0.25">
      <c r="A106" s="2">
        <v>20</v>
      </c>
      <c r="B106" s="1" t="s">
        <v>242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3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>
        <v>240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>
        <v>200</v>
      </c>
      <c r="BB106" s="2"/>
    </row>
    <row r="107" spans="1:60" x14ac:dyDescent="0.25">
      <c r="A107" s="2">
        <v>21</v>
      </c>
      <c r="B107" s="1" t="s">
        <v>243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39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>
        <v>240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>
        <v>200</v>
      </c>
      <c r="BB107" s="2"/>
    </row>
  </sheetData>
  <sortState ref="BD30:BI41">
    <sortCondition ref="BD30"/>
  </sortState>
  <mergeCells count="1">
    <mergeCell ref="BD47:BH47"/>
  </mergeCells>
  <pageMargins left="0.7" right="0.7" top="0.75" bottom="0.75" header="0.3" footer="0.3"/>
  <pageSetup paperSize="9" scale="46" fitToHeight="0" orientation="landscape" horizontalDpi="4294967293" verticalDpi="0" r:id="rId1"/>
  <colBreaks count="1" manualBreakCount="1">
    <brk id="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Tagudin Beneficiaries</vt:lpstr>
      <vt:lpstr>Collection - Dec. 2024</vt:lpstr>
      <vt:lpstr>Collection - Jan. 2025- Present</vt:lpstr>
      <vt:lpstr>'Collection - Jan. 2025- Present'!Print_Area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 PADSING</dc:creator>
  <cp:lastModifiedBy>JERIC PADSING</cp:lastModifiedBy>
  <cp:lastPrinted>2026-05-20T23:03:52Z</cp:lastPrinted>
  <dcterms:created xsi:type="dcterms:W3CDTF">2024-11-14T05:40:36Z</dcterms:created>
  <dcterms:modified xsi:type="dcterms:W3CDTF">2026-08-31T14:36:46Z</dcterms:modified>
</cp:coreProperties>
</file>